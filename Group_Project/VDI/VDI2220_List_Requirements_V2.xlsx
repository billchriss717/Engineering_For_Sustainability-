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Week 1 Requirements List" sheetId="1" state="visible" r:id="rId1"/>
    <sheet name="Week 2 Morphological Box" sheetId="2" state="visible" r:id="rId2"/>
    <sheet name="Week 2 Value Analysis" sheetId="3" state="visible" r:id="rId3"/>
    <sheet name="Lists" sheetId="4" state="hidden" r:id="rId4"/>
  </sheets>
  <definedNames>
    <definedName name="CategoryList">Lists!$A$2:$A$50</definedName>
    <definedName name="PriorityList">Lists!$C$2:$C$3</definedName>
    <definedName name="StatusList">Lists!$E$2:$E$10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<sst xmlns="http://schemas.openxmlformats.org/spreadsheetml/2006/main" count="208" uniqueCount="208">
  <si>
    <t xml:space="preserve">Week 1 Deliverable</t>
  </si>
  <si>
    <t xml:space="preserve">Requirements List
Project / Product</t>
  </si>
  <si>
    <t>Project:</t>
  </si>
  <si>
    <t>AlgaNova</t>
  </si>
  <si>
    <t>Group:</t>
  </si>
  <si>
    <t>Revision:</t>
  </si>
  <si>
    <t>Date:</t>
  </si>
  <si>
    <t>ID</t>
  </si>
  <si>
    <t>Requirement</t>
  </si>
  <si>
    <t>Category</t>
  </si>
  <si>
    <t xml:space="preserve">Target / Criterion</t>
  </si>
  <si>
    <t>Unit</t>
  </si>
  <si>
    <t xml:space="preserve">Demand / Wish</t>
  </si>
  <si>
    <t>Weight</t>
  </si>
  <si>
    <t>Comments</t>
  </si>
  <si>
    <t xml:space="preserve">Algae removal </t>
  </si>
  <si>
    <t>Function</t>
  </si>
  <si>
    <t xml:space="preserve">120-&gt; 200</t>
  </si>
  <si>
    <t>Kg/h</t>
  </si>
  <si>
    <t>D</t>
  </si>
  <si>
    <t xml:space="preserve">Removal efficiency</t>
  </si>
  <si>
    <t xml:space="preserve">Water depth operation</t>
  </si>
  <si>
    <t>Geometry</t>
  </si>
  <si>
    <t xml:space="preserve">0 - 1</t>
  </si>
  <si>
    <t>m</t>
  </si>
  <si>
    <t xml:space="preserve">Range of operation</t>
  </si>
  <si>
    <t xml:space="preserve">Operating speed</t>
  </si>
  <si>
    <t>Performance</t>
  </si>
  <si>
    <t xml:space="preserve"> ~1</t>
  </si>
  <si>
    <t>Km/h</t>
  </si>
  <si>
    <t xml:space="preserve">Ensures efficient cleaning</t>
  </si>
  <si>
    <t xml:space="preserve">Noise emission</t>
  </si>
  <si>
    <t>Ergonomics</t>
  </si>
  <si>
    <t xml:space="preserve"> ~60</t>
  </si>
  <si>
    <t>dB</t>
  </si>
  <si>
    <t>W</t>
  </si>
  <si>
    <t xml:space="preserve">Low noise during operation.</t>
  </si>
  <si>
    <t xml:space="preserve">  Energy consumption</t>
  </si>
  <si>
    <t>Sustainability</t>
  </si>
  <si>
    <t>&lt;500</t>
  </si>
  <si>
    <t xml:space="preserve">Energy-efficient operation.</t>
  </si>
  <si>
    <t xml:space="preserve">Operating Duration</t>
  </si>
  <si>
    <t>4-&gt;6</t>
  </si>
  <si>
    <t>h</t>
  </si>
  <si>
    <t xml:space="preserve">Continuous operation for 4 hours.</t>
  </si>
  <si>
    <t xml:space="preserve">Algae storage capacity</t>
  </si>
  <si>
    <t xml:space="preserve">200 -&gt; 250</t>
  </si>
  <si>
    <t>Kg</t>
  </si>
  <si>
    <t xml:space="preserve">Reduces unloading frequency.</t>
  </si>
  <si>
    <t xml:space="preserve">Machine weight</t>
  </si>
  <si>
    <t xml:space="preserve">Lightweight and portable.</t>
  </si>
  <si>
    <t xml:space="preserve">Regular Maintenance (Cleaning)</t>
  </si>
  <si>
    <t>Cost</t>
  </si>
  <si>
    <t>Euros</t>
  </si>
  <si>
    <t xml:space="preserve">Easy and low-cost maintenance.</t>
  </si>
  <si>
    <t xml:space="preserve">Harmful emissions</t>
  </si>
  <si>
    <t>Safety</t>
  </si>
  <si>
    <t>None</t>
  </si>
  <si>
    <t xml:space="preserve">Environmentally friendly operation.</t>
  </si>
  <si>
    <t xml:space="preserve">Corrosion Resistance </t>
  </si>
  <si>
    <t>Manufacturing</t>
  </si>
  <si>
    <t xml:space="preserve">Visual Inspection</t>
  </si>
  <si>
    <t xml:space="preserve">Rust-resistant materials used.</t>
  </si>
  <si>
    <t xml:space="preserve">Compact design (Surface Area)</t>
  </si>
  <si>
    <t>&lt;5</t>
  </si>
  <si>
    <t>m^2</t>
  </si>
  <si>
    <t xml:space="preserve">Easy to transport and store.</t>
  </si>
  <si>
    <t xml:space="preserve">Attractive appearance </t>
  </si>
  <si>
    <t xml:space="preserve">public opinion on design </t>
  </si>
  <si>
    <t xml:space="preserve">Modern and user-friendly design</t>
  </si>
  <si>
    <t xml:space="preserve">Durability </t>
  </si>
  <si>
    <t>Other</t>
  </si>
  <si>
    <t>years/warranty</t>
  </si>
  <si>
    <t xml:space="preserve">Long service life.</t>
  </si>
  <si>
    <t xml:space="preserve">Machine Safety &amp; Electrical and Radio Regulations</t>
  </si>
  <si>
    <t xml:space="preserve">Class 1</t>
  </si>
  <si>
    <t xml:space="preserve">Meets Class 1 standards.</t>
  </si>
  <si>
    <t xml:space="preserve">Battery Safety Regulations</t>
  </si>
  <si>
    <t xml:space="preserve">UN 38.3 Certification.</t>
  </si>
  <si>
    <t xml:space="preserve">Complies with UN 38.3</t>
  </si>
  <si>
    <t xml:space="preserve">Comply to the Federal Waterway Permit
(Strom- und Schifffahrtpolizeiliche Genehmigung )</t>
  </si>
  <si>
    <t xml:space="preserve">Conform to legal requirements</t>
  </si>
  <si>
    <t xml:space="preserve">Water Use Permit (Wasserrechtliche erlaubnis)</t>
  </si>
  <si>
    <t xml:space="preserve">Biodiversity &amp; Habitat Protection (Naturschutzrecht)</t>
  </si>
  <si>
    <t>Scalability</t>
  </si>
  <si>
    <t xml:space="preserve">Adaptable to Canal width</t>
  </si>
  <si>
    <t xml:space="preserve">Adaptable to different canal widths.</t>
  </si>
  <si>
    <t xml:space="preserve">Water proof</t>
  </si>
  <si>
    <t>IPX6</t>
  </si>
  <si>
    <t xml:space="preserve">IPX6 water-resistant design.</t>
  </si>
  <si>
    <t xml:space="preserve">Must not block canal Navigation</t>
  </si>
  <si>
    <t xml:space="preserve">Stoppage time
 of other simultaneously 
occuring activities</t>
  </si>
  <si>
    <t>min</t>
  </si>
  <si>
    <t xml:space="preserve">Simultaneous operation of other canal activities</t>
  </si>
  <si>
    <t xml:space="preserve">Preserve canal infrastructure</t>
  </si>
  <si>
    <t xml:space="preserve">No reconstruction nor destruction of the currrents canal's infrastructure</t>
  </si>
  <si>
    <t xml:space="preserve">Not aiming at altering the canals infrastrutcture to accomodate the system</t>
  </si>
  <si>
    <t xml:space="preserve">weather resistant</t>
  </si>
  <si>
    <t xml:space="preserve">Should Operable in hot,sunny,moist and rainy weather conditions</t>
  </si>
  <si>
    <t xml:space="preserve">The system will be mostly operational during warm sunny weathers, as we experience a heavy algal infestations during these periods</t>
  </si>
  <si>
    <t xml:space="preserve">Total Weight</t>
  </si>
  <si>
    <t>Check</t>
  </si>
  <si>
    <t xml:space="preserve">Week 2 Deliverable</t>
  </si>
  <si>
    <t xml:space="preserve">Morphological Box
Project / Product</t>
  </si>
  <si>
    <t>22/07/2026</t>
  </si>
  <si>
    <t xml:space="preserve">Concept 1</t>
  </si>
  <si>
    <t xml:space="preserve">Concept 2</t>
  </si>
  <si>
    <t xml:space="preserve">Concept 3</t>
  </si>
  <si>
    <t>name</t>
  </si>
  <si>
    <t xml:space="preserve">Human base Collection</t>
  </si>
  <si>
    <t xml:space="preserve">Hybrid Power collection</t>
  </si>
  <si>
    <t xml:space="preserve">Conveyor system</t>
  </si>
  <si>
    <t xml:space="preserve">Solution 1</t>
  </si>
  <si>
    <t xml:space="preserve">Solution 2</t>
  </si>
  <si>
    <t xml:space="preserve">Solution 3</t>
  </si>
  <si>
    <t xml:space="preserve">Solution 4</t>
  </si>
  <si>
    <t xml:space="preserve">Solution 5</t>
  </si>
  <si>
    <t xml:space="preserve">Solution 6</t>
  </si>
  <si>
    <t>Selection</t>
  </si>
  <si>
    <t xml:space="preserve">pick one concept for each function</t>
  </si>
  <si>
    <t>Mobility</t>
  </si>
  <si>
    <t xml:space="preserve">Walking </t>
  </si>
  <si>
    <t>Paddeling</t>
  </si>
  <si>
    <t>Swimming</t>
  </si>
  <si>
    <t xml:space="preserve">Submerged
 Electric 
Propellers</t>
  </si>
  <si>
    <t xml:space="preserve">Surface
 Paddle wheel
 Drives</t>
  </si>
  <si>
    <t xml:space="preserve">Hybrid system (pedal battery power assist propulsion)</t>
  </si>
  <si>
    <t xml:space="preserve">Navigate to Area</t>
  </si>
  <si>
    <t xml:space="preserve">Human eye</t>
  </si>
  <si>
    <t xml:space="preserve">GPS Navigation System</t>
  </si>
  <si>
    <t xml:space="preserve">AI Automated Navigation (Through Satelite)</t>
  </si>
  <si>
    <t xml:space="preserve">Remote control Navigation (Semi Automated)</t>
  </si>
  <si>
    <t xml:space="preserve">Embedded Motion sensors and Camera</t>
  </si>
  <si>
    <t xml:space="preserve">Collect Algae-Water-Debris Mixture</t>
  </si>
  <si>
    <t>Trident</t>
  </si>
  <si>
    <t xml:space="preserve">Collection Net</t>
  </si>
  <si>
    <t xml:space="preserve">Vaccum water Suction system</t>
  </si>
  <si>
    <t xml:space="preserve">ELectrical power assisted Manual Conveyor system</t>
  </si>
  <si>
    <t xml:space="preserve">Electrical powerd Conveyor system</t>
  </si>
  <si>
    <t xml:space="preserve">Lifting scoop</t>
  </si>
  <si>
    <t xml:space="preserve">Separate Algae-Debris from water</t>
  </si>
  <si>
    <t xml:space="preserve">Perforated Basket</t>
  </si>
  <si>
    <t xml:space="preserve">Perforated Belt Conveyor</t>
  </si>
  <si>
    <t xml:space="preserve">Net </t>
  </si>
  <si>
    <t xml:space="preserve">Store collected Algae-Debris</t>
  </si>
  <si>
    <t>Bucket</t>
  </si>
  <si>
    <t xml:space="preserve">Sequential Dumping spots </t>
  </si>
  <si>
    <t xml:space="preserve">Monitor Storage Level</t>
  </si>
  <si>
    <t xml:space="preserve">Weight-Based Monitoring (Strain Gauge Load Cells)</t>
  </si>
  <si>
    <t xml:space="preserve">Level/Volume Monitoring (IP67 Ultrasonic Distance Sensors)</t>
  </si>
  <si>
    <t xml:space="preserve">Alarm/stop 
Collection</t>
  </si>
  <si>
    <t>Person</t>
  </si>
  <si>
    <t xml:space="preserve">Mechanical Bell system</t>
  </si>
  <si>
    <t>Speaker</t>
  </si>
  <si>
    <t xml:space="preserve">Separation of Algae From Debris</t>
  </si>
  <si>
    <t xml:space="preserve">Coars screening/
Sedimentation</t>
  </si>
  <si>
    <t xml:space="preserve">Remove waste &amp; Debris</t>
  </si>
  <si>
    <t xml:space="preserve">Manual Dumping</t>
  </si>
  <si>
    <t xml:space="preserve">Articulated Rear-Tipping Hopper</t>
  </si>
  <si>
    <t xml:space="preserve">Value Analysis
Project / Product</t>
  </si>
  <si>
    <t xml:space="preserve">Value Scale: 0 (absolut useless solution) - 10 (ideal solution)</t>
  </si>
  <si>
    <t xml:space="preserve">Transferred data from Requirements List - No editing here!</t>
  </si>
  <si>
    <t xml:space="preserve">Degree of Fulfillment</t>
  </si>
  <si>
    <t xml:space="preserve">value [0…10]</t>
  </si>
  <si>
    <t xml:space="preserve">weighted value</t>
  </si>
  <si>
    <t xml:space="preserve">Degree of Fulfillment2</t>
  </si>
  <si>
    <t xml:space="preserve">value [0…10]2</t>
  </si>
  <si>
    <t xml:space="preserve">weighted value2</t>
  </si>
  <si>
    <t xml:space="preserve">Degree of Fulfillment3</t>
  </si>
  <si>
    <t xml:space="preserve">value [0…10]3</t>
  </si>
  <si>
    <t xml:space="preserve">weighted value3</t>
  </si>
  <si>
    <t>0-0.2m</t>
  </si>
  <si>
    <t>0-0.5m</t>
  </si>
  <si>
    <t xml:space="preserve">1-&gt;6 Km/h</t>
  </si>
  <si>
    <t xml:space="preserve">1-&gt;4 Km/h</t>
  </si>
  <si>
    <t>~5dB</t>
  </si>
  <si>
    <t xml:space="preserve">60 -&gt; 70dB</t>
  </si>
  <si>
    <t xml:space="preserve">60 -&gt; 80dB</t>
  </si>
  <si>
    <t>0W</t>
  </si>
  <si>
    <t>250W</t>
  </si>
  <si>
    <t>450W</t>
  </si>
  <si>
    <t>3h</t>
  </si>
  <si>
    <t>4h</t>
  </si>
  <si>
    <t>80Kg</t>
  </si>
  <si>
    <t>100Kg</t>
  </si>
  <si>
    <t xml:space="preserve">Canoe + Gear + 2Crew =210Kg</t>
  </si>
  <si>
    <t xml:space="preserve">Machine + Crew ~450Kg</t>
  </si>
  <si>
    <t xml:space="preserve">Machine ~450Kg</t>
  </si>
  <si>
    <t xml:space="preserve">10 Euros</t>
  </si>
  <si>
    <t xml:space="preserve">100 Euros</t>
  </si>
  <si>
    <t xml:space="preserve">150 Euros</t>
  </si>
  <si>
    <t xml:space="preserve">Zero Emission</t>
  </si>
  <si>
    <t xml:space="preserve">Material mostly made of plastic </t>
  </si>
  <si>
    <t xml:space="preserve">On a scale from 1-10: 
we put it at 7</t>
  </si>
  <si>
    <t>~3.25</t>
  </si>
  <si>
    <t>~4</t>
  </si>
  <si>
    <t xml:space="preserve">4 - &gt;5 </t>
  </si>
  <si>
    <t xml:space="preserve">On a scale from 1-10: we put it at a 7</t>
  </si>
  <si>
    <t xml:space="preserve">On a scale from 1-10: we put it at a 8</t>
  </si>
  <si>
    <t>check</t>
  </si>
  <si>
    <t xml:space="preserve">Water Resistant</t>
  </si>
  <si>
    <t>(20-&gt;25)Kg</t>
  </si>
  <si>
    <t>(~50)Kg</t>
  </si>
  <si>
    <t>(~70)Kg</t>
  </si>
  <si>
    <t xml:space="preserve">∑ </t>
  </si>
  <si>
    <t>Categories</t>
  </si>
  <si>
    <t>Priority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</si>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</sst>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name val="Calibri"/>
    </font>
    <font>
      <b/>
      <sz val="11.000000"/>
      <name val="Calibri"/>
    </font>
    <font>
      <sz val="12.000000"/>
      <name val="Calibri"/>
      <scheme val="minor"/>
    </font>
    <font>
      <sz val="11.000000"/>
      <name val="Calibri"/>
      <scheme val="minor"/>
    </font>
    <font>
      <sz val="8.000000"/>
      <color theme="1"/>
      <name val="Calibri"/>
      <scheme val="minor"/>
    </font>
    <font>
      <sz val="11.000000"/>
      <name val="Times New Roman"/>
    </font>
    <font>
      <sz val="9.000000"/>
      <color theme="1"/>
      <name val="Calibri"/>
      <scheme val="minor"/>
    </font>
    <font>
      <b/>
      <sz val="20.000000"/>
      <color theme="1"/>
      <name val="Calibri (Textkörper)_x0000_"/>
    </font>
    <font>
      <b/>
      <sz val="16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DDDDDD"/>
      </patternFill>
    </fill>
    <fill>
      <patternFill patternType="solid">
        <fgColor indexed="5"/>
      </patternFill>
    </fill>
  </fills>
  <borders count="3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09">
    <xf fontId="0" fillId="0" borderId="0" numFmtId="0" xfId="0"/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2" fillId="2" borderId="1" numFmtId="0" xfId="0" applyFont="1" applyFill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 wrapText="1"/>
    </xf>
    <xf fontId="2" fillId="2" borderId="3" numFmtId="0" xfId="0" applyFont="1" applyFill="1" applyBorder="1" applyAlignment="1">
      <alignment horizontal="center" vertical="center" wrapText="1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14" xfId="0" applyNumberFormat="1" applyBorder="1" applyAlignment="1">
      <alignment horizontal="center" vertical="center"/>
    </xf>
    <xf fontId="3" fillId="3" borderId="11" numFmtId="0" xfId="0" applyFont="1" applyFill="1" applyBorder="1" applyAlignment="1">
      <alignment horizontal="center" vertical="center" wrapText="1"/>
    </xf>
    <xf fontId="3" fillId="3" borderId="12" numFmtId="0" xfId="0" applyFont="1" applyFill="1" applyBorder="1" applyAlignment="1">
      <alignment horizontal="center" vertical="center" wrapText="1"/>
    </xf>
    <xf fontId="3" fillId="3" borderId="9" numFmtId="0" xfId="0" applyFont="1" applyFill="1" applyBorder="1" applyAlignment="1">
      <alignment horizontal="center" vertical="center" wrapText="1"/>
    </xf>
    <xf fontId="0" fillId="0" borderId="3" numFmtId="0" xfId="0" applyBorder="1" applyAlignment="1">
      <alignment horizontal="center" vertical="center" wrapText="1"/>
    </xf>
    <xf fontId="0" fillId="0" borderId="13" numFmtId="0" xfId="0" applyBorder="1" applyAlignment="1">
      <alignment horizontal="center" vertical="center" wrapText="1"/>
    </xf>
    <xf fontId="0" fillId="0" borderId="13" numFmtId="9" xfId="1" applyNumberForma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13" numFmtId="16" xfId="0" applyNumberFormat="1" applyBorder="1" applyAlignment="1">
      <alignment horizontal="center" vertical="center" wrapText="1"/>
    </xf>
    <xf fontId="0" fillId="0" borderId="14" numFmtId="0" xfId="0" applyBorder="1" applyAlignment="1">
      <alignment horizontal="center" vertical="center" wrapText="1"/>
    </xf>
    <xf fontId="0" fillId="0" borderId="15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 wrapText="1"/>
    </xf>
    <xf fontId="4" fillId="0" borderId="0" numFmtId="0" xfId="0" applyFont="1" applyAlignment="1">
      <alignment horizontal="center"/>
    </xf>
    <xf fontId="0" fillId="0" borderId="0" numFmtId="0" xfId="0" applyAlignment="1">
      <alignment horizontal="center" vertical="center" wrapText="1"/>
    </xf>
    <xf fontId="0" fillId="0" borderId="16" numFmtId="0" xfId="0" applyBorder="1" applyAlignment="1">
      <alignment horizontal="center" vertical="center"/>
    </xf>
    <xf fontId="0" fillId="0" borderId="17" numFmtId="9" xfId="0" applyNumberFormat="1" applyBorder="1" applyAlignment="1">
      <alignment horizontal="center" vertical="center"/>
    </xf>
    <xf fontId="0" fillId="0" borderId="18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0" fillId="0" borderId="12" numFmtId="9" xfId="1" applyNumberFormat="1" applyBorder="1" applyAlignment="1">
      <alignment horizontal="center" vertical="center" wrapText="1"/>
    </xf>
    <xf fontId="0" fillId="0" borderId="14" numFmtId="9" xfId="1" applyNumberForma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1" fillId="4" borderId="6" numFmtId="0" xfId="0" applyFont="1" applyFill="1" applyBorder="1" applyAlignment="1">
      <alignment horizontal="center" vertical="center"/>
    </xf>
    <xf fontId="1" fillId="4" borderId="11" numFmtId="0" xfId="0" applyFont="1" applyFill="1" applyBorder="1" applyAlignment="1">
      <alignment horizontal="center" vertical="center"/>
    </xf>
    <xf fontId="0" fillId="0" borderId="5" numFmtId="0" xfId="0" applyBorder="1" applyAlignment="1">
      <alignment horizontal="right" vertical="center"/>
    </xf>
    <xf fontId="0" fillId="0" borderId="6" numFmtId="0" xfId="0" applyBorder="1" applyAlignment="1">
      <alignment horizontal="right" vertical="center"/>
    </xf>
    <xf fontId="0" fillId="0" borderId="0" numFmtId="0" xfId="0" applyAlignment="1">
      <alignment vertical="center"/>
    </xf>
    <xf fontId="0" fillId="0" borderId="0" numFmtId="0" xfId="0" applyAlignment="1">
      <alignment horizontal="right" vertical="center"/>
    </xf>
    <xf fontId="0" fillId="0" borderId="8" numFmtId="0" xfId="0" applyBorder="1" applyAlignment="1">
      <alignment horizontal="right" vertical="center"/>
    </xf>
    <xf fontId="0" fillId="0" borderId="10" numFmtId="14" xfId="0" applyNumberFormat="1" applyBorder="1" applyAlignment="1">
      <alignment horizontal="right" vertical="center"/>
    </xf>
    <xf fontId="0" fillId="0" borderId="11" numFmtId="14" xfId="0" applyNumberFormat="1" applyBorder="1" applyAlignment="1">
      <alignment horizontal="right" vertical="center"/>
    </xf>
    <xf fontId="0" fillId="0" borderId="0" numFmtId="14" xfId="0" applyNumberFormat="1" applyAlignment="1">
      <alignment vertical="center"/>
    </xf>
    <xf fontId="1" fillId="2" borderId="13" numFmtId="0" xfId="0" applyFont="1" applyFill="1" applyBorder="1" applyAlignment="1">
      <alignment horizontal="center"/>
    </xf>
    <xf fontId="1" fillId="0" borderId="0" numFmtId="0" xfId="0" applyFont="1"/>
    <xf fontId="1" fillId="2" borderId="1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0" borderId="0" numFmtId="14" xfId="0" applyNumberFormat="1" applyAlignment="1">
      <alignment horizontal="center" vertical="center"/>
    </xf>
    <xf fontId="0" fillId="2" borderId="13" numFmtId="0" xfId="0" applyFill="1" applyBorder="1"/>
    <xf fontId="3" fillId="3" borderId="8" numFmtId="0" xfId="0" applyFont="1" applyFill="1" applyBorder="1" applyAlignment="1">
      <alignment horizontal="center" vertical="center" wrapText="1"/>
    </xf>
    <xf fontId="3" fillId="3" borderId="19" numFmtId="0" xfId="0" applyFont="1" applyFill="1" applyBorder="1" applyAlignment="1">
      <alignment horizontal="center" vertical="center" wrapText="1"/>
    </xf>
    <xf fontId="5" fillId="2" borderId="19" numFmtId="0" xfId="0" applyFont="1" applyFill="1" applyBorder="1" applyAlignment="1">
      <alignment horizontal="center" vertical="center"/>
    </xf>
    <xf fontId="5" fillId="2" borderId="7" numFmtId="0" xfId="0" applyFont="1" applyFill="1" applyBorder="1" applyAlignment="1">
      <alignment horizontal="center" vertical="center"/>
    </xf>
    <xf fontId="6" fillId="2" borderId="13" numFmtId="0" xfId="0" applyFont="1" applyFill="1" applyBorder="1" applyAlignment="1">
      <alignment wrapText="1"/>
    </xf>
    <xf fontId="0" fillId="2" borderId="2" numFmtId="0" xfId="0" applyFill="1" applyBorder="1" applyAlignment="1">
      <alignment horizontal="center" vertical="center" wrapText="1"/>
    </xf>
    <xf fontId="0" fillId="2" borderId="20" numFmtId="0" xfId="0" applyFill="1" applyBorder="1" applyAlignment="1">
      <alignment horizontal="center" vertical="center" wrapText="1"/>
    </xf>
    <xf fontId="0" fillId="0" borderId="17" numFmtId="0" xfId="0" applyBorder="1" applyAlignment="1">
      <alignment horizontal="center" vertical="center"/>
    </xf>
    <xf fontId="7" fillId="0" borderId="15" numFmtId="0" xfId="0" applyFont="1" applyBorder="1" applyAlignment="1">
      <alignment horizontal="center" vertical="center" wrapText="1"/>
    </xf>
    <xf fontId="0" fillId="0" borderId="13" numFmtId="0" xfId="0" applyBorder="1"/>
    <xf fontId="8" fillId="0" borderId="13" numFmtId="0" xfId="0" applyFont="1" applyBorder="1" applyAlignment="1">
      <alignment wrapText="1"/>
    </xf>
    <xf fontId="0" fillId="2" borderId="3" numFmtId="0" xfId="0" applyFill="1" applyBorder="1" applyAlignment="1">
      <alignment horizontal="center" vertical="center" wrapText="1"/>
    </xf>
    <xf fontId="0" fillId="2" borderId="12" numFmtId="0" xfId="0" applyFill="1" applyBorder="1" applyAlignment="1">
      <alignment horizontal="center" vertical="center" wrapText="1"/>
    </xf>
    <xf fontId="0" fillId="2" borderId="13" numFmtId="0" xfId="0" applyFill="1" applyBorder="1" applyAlignment="1">
      <alignment horizontal="center" vertical="center" wrapText="1"/>
    </xf>
    <xf fontId="0" fillId="2" borderId="14" numFmtId="0" xfId="0" applyFill="1" applyBorder="1" applyAlignment="1">
      <alignment horizontal="center" vertical="center" wrapText="1"/>
    </xf>
    <xf fontId="0" fillId="0" borderId="19" numFmtId="0" xfId="0" applyBorder="1" applyAlignment="1">
      <alignment horizontal="center" vertical="center" wrapText="1"/>
    </xf>
    <xf fontId="0" fillId="0" borderId="17" numFmtId="0" xfId="0" applyBorder="1" applyAlignment="1">
      <alignment horizontal="center" vertical="center" wrapText="1"/>
    </xf>
    <xf fontId="0" fillId="0" borderId="15" numFmtId="0" xfId="0" applyBorder="1"/>
    <xf fontId="0" fillId="2" borderId="4" numFmtId="0" xfId="0" applyFill="1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0" fillId="0" borderId="13" numFmtId="0" xfId="0" applyBorder="1" applyAlignment="1">
      <alignment horizontal="left" vertical="center" wrapText="1"/>
    </xf>
    <xf fontId="8" fillId="0" borderId="13" numFmtId="0" xfId="0" applyFont="1" applyBorder="1" applyAlignment="1">
      <alignment horizontal="left" vertical="center" wrapText="1"/>
    </xf>
    <xf fontId="8" fillId="0" borderId="1" numFmtId="0" xfId="0" applyFont="1" applyBorder="1" applyAlignment="1">
      <alignment horizontal="left" vertical="center" wrapText="1"/>
    </xf>
    <xf fontId="0" fillId="0" borderId="17" numFmtId="0" xfId="0" applyBorder="1"/>
    <xf fontId="8" fillId="0" borderId="12" numFmtId="0" xfId="0" applyFont="1" applyBorder="1" applyAlignment="1">
      <alignment horizontal="left" vertical="center" wrapText="1"/>
    </xf>
    <xf fontId="0" fillId="0" borderId="12" numFmtId="0" xfId="0" applyBorder="1" applyAlignment="1">
      <alignment horizontal="left" vertical="center" wrapText="1"/>
    </xf>
    <xf fontId="0" fillId="2" borderId="6" numFmtId="0" xfId="0" applyFill="1" applyBorder="1" applyAlignment="1">
      <alignment horizontal="center" vertical="center" wrapText="1"/>
    </xf>
    <xf fontId="8" fillId="0" borderId="14" numFmtId="0" xfId="0" applyFont="1" applyBorder="1" applyAlignment="1">
      <alignment horizontal="left" vertical="center" wrapText="1"/>
    </xf>
    <xf fontId="8" fillId="0" borderId="4" numFmtId="0" xfId="0" applyFont="1" applyBorder="1" applyAlignment="1">
      <alignment horizontal="left" vertical="center" wrapText="1"/>
    </xf>
    <xf fontId="0" fillId="0" borderId="0" numFmtId="0" xfId="0" applyAlignment="1">
      <alignment horizontal="left" vertical="center"/>
    </xf>
    <xf fontId="0" fillId="0" borderId="0" numFmtId="14" xfId="0" applyNumberFormat="1" applyAlignment="1">
      <alignment horizontal="right" vertical="center"/>
    </xf>
    <xf fontId="1" fillId="2" borderId="21" numFmtId="0" xfId="0" applyFont="1" applyFill="1" applyBorder="1" applyAlignment="1">
      <alignment horizontal="center" vertical="center"/>
    </xf>
    <xf fontId="1" fillId="2" borderId="22" numFmtId="0" xfId="0" applyFont="1" applyFill="1" applyBorder="1" applyAlignment="1">
      <alignment horizontal="center" vertical="center"/>
    </xf>
    <xf fontId="1" fillId="2" borderId="23" numFmtId="0" xfId="0" applyFont="1" applyFill="1" applyBorder="1" applyAlignment="1">
      <alignment horizontal="center" vertical="center"/>
    </xf>
    <xf fontId="1" fillId="2" borderId="24" numFmtId="0" xfId="0" applyFont="1" applyFill="1" applyBorder="1" applyAlignment="1">
      <alignment horizontal="center" vertical="center"/>
    </xf>
    <xf fontId="1" fillId="2" borderId="25" numFmtId="0" xfId="0" applyFont="1" applyFill="1" applyBorder="1" applyAlignment="1">
      <alignment horizontal="center" vertical="center"/>
    </xf>
    <xf fontId="1" fillId="2" borderId="26" numFmtId="0" xfId="0" applyFont="1" applyFill="1" applyBorder="1" applyAlignment="1">
      <alignment horizontal="center" vertical="center"/>
    </xf>
    <xf fontId="3" fillId="3" borderId="24" numFmtId="0" xfId="0" applyFont="1" applyFill="1" applyBorder="1" applyAlignment="1">
      <alignment horizontal="center" vertical="center" wrapText="1"/>
    </xf>
    <xf fontId="3" fillId="3" borderId="25" numFmtId="0" xfId="0" applyFont="1" applyFill="1" applyBorder="1" applyAlignment="1">
      <alignment horizontal="center" vertical="center" wrapText="1"/>
    </xf>
    <xf fontId="3" fillId="3" borderId="26" numFmtId="0" xfId="0" applyFont="1" applyFill="1" applyBorder="1" applyAlignment="1">
      <alignment horizontal="center" vertical="center" wrapText="1"/>
    </xf>
    <xf fontId="3" fillId="2" borderId="27" numFmtId="0" xfId="0" applyFont="1" applyFill="1" applyBorder="1" applyAlignment="1">
      <alignment horizontal="center" vertical="center" wrapText="1"/>
    </xf>
    <xf fontId="3" fillId="2" borderId="12" numFmtId="0" xfId="0" applyFont="1" applyFill="1" applyBorder="1" applyAlignment="1">
      <alignment horizontal="center" vertical="center" wrapText="1"/>
    </xf>
    <xf fontId="3" fillId="2" borderId="28" numFmtId="0" xfId="0" applyFont="1" applyFill="1" applyBorder="1" applyAlignment="1">
      <alignment horizontal="center" vertical="center" wrapText="1"/>
    </xf>
    <xf fontId="0" fillId="0" borderId="29" numFmtId="0" xfId="0" applyBorder="1" applyAlignment="1">
      <alignment horizontal="center" vertical="center" wrapText="1"/>
    </xf>
    <xf fontId="0" fillId="0" borderId="30" numFmtId="0" xfId="0" applyBorder="1" applyAlignment="1">
      <alignment horizontal="center" vertical="center" wrapText="1"/>
    </xf>
    <xf fontId="0" fillId="0" borderId="12" numFmtId="16" xfId="0" applyNumberFormat="1" applyBorder="1" applyAlignment="1">
      <alignment horizontal="center" vertical="center" wrapText="1"/>
    </xf>
    <xf fontId="0" fillId="0" borderId="31" numFmtId="0" xfId="0" applyBorder="1" applyAlignment="1">
      <alignment horizontal="center" vertical="center" wrapText="1"/>
    </xf>
    <xf fontId="4" fillId="0" borderId="32" numFmtId="0" xfId="0" applyFont="1" applyBorder="1" applyAlignment="1">
      <alignment horizontal="center" wrapText="1"/>
    </xf>
    <xf fontId="0" fillId="0" borderId="27" numFmtId="0" xfId="0" applyBorder="1" applyAlignment="1">
      <alignment horizontal="center" vertical="center" wrapText="1"/>
    </xf>
    <xf fontId="0" fillId="0" borderId="33" numFmtId="0" xfId="0" applyBorder="1" applyAlignment="1">
      <alignment horizontal="center" vertical="center" wrapText="1"/>
    </xf>
    <xf fontId="0" fillId="0" borderId="34" numFmtId="0" xfId="0" applyBorder="1" applyAlignment="1">
      <alignment horizontal="center" vertical="center" wrapText="1"/>
    </xf>
    <xf fontId="9" fillId="0" borderId="5" numFmtId="0" xfId="0" applyFont="1" applyBorder="1" applyAlignment="1">
      <alignment horizontal="center" vertical="center" wrapText="1"/>
    </xf>
    <xf fontId="10" fillId="4" borderId="35" numFmtId="0" xfId="0" applyFont="1" applyFill="1" applyBorder="1" applyAlignment="1">
      <alignment horizontal="center" vertical="center"/>
    </xf>
    <xf fontId="9" fillId="0" borderId="4" numFmtId="0" xfId="0" applyFont="1" applyBorder="1" applyAlignment="1">
      <alignment horizontal="center" vertical="center" wrapText="1"/>
    </xf>
    <xf fontId="10" fillId="4" borderId="6" numFmtId="0" xfId="0" applyFont="1" applyFill="1" applyBorder="1" applyAlignment="1">
      <alignment horizontal="center" vertical="center"/>
    </xf>
    <xf fontId="9" fillId="0" borderId="10" numFmtId="0" xfId="0" applyFont="1" applyBorder="1" applyAlignment="1">
      <alignment horizontal="center" vertical="center" wrapText="1"/>
    </xf>
    <xf fontId="10" fillId="4" borderId="31" numFmtId="0" xfId="0" applyFont="1" applyFill="1" applyBorder="1" applyAlignment="1">
      <alignment horizontal="center" vertical="center"/>
    </xf>
    <xf fontId="9" fillId="0" borderId="9" numFmtId="0" xfId="0" applyFont="1" applyBorder="1" applyAlignment="1">
      <alignment horizontal="center" vertical="center" wrapText="1"/>
    </xf>
    <xf fontId="10" fillId="4" borderId="11" numFmtId="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1">
    <dxf>
      <alignment horizontal="center" indent="0" readingOrder="0" relativeIndent="0" shrinkToFit="0" textRotation="0" vertical="center" wrapText="1"/>
      <border>
        <left style="none"/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alignment horizontal="center" indent="0" readingOrder="0" relativeIndent="0" shrinkToFit="0" textRotation="0" vertical="center" wrapText="1"/>
      <border>
        <left style="thin">
          <color auto="1"/>
        </left>
        <right style="none"/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indent="0" readingOrder="0" relativeIndent="0" shrinkToFit="0" textRotation="0" vertical="center" wrapText="1"/>
      <border>
        <left style="none"/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9.000000"/>
        <color theme="1"/>
        <name val="Calibri"/>
        <scheme val="minor"/>
      </font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9.000000"/>
        <color theme="1"/>
        <name val="Calibri"/>
        <scheme val="minor"/>
      </font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9.000000"/>
        <color theme="1"/>
        <name val="Calibri"/>
        <scheme val="minor"/>
      </font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9.000000"/>
        <color theme="1"/>
        <name val="Calibri"/>
        <scheme val="minor"/>
      </font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9.000000"/>
        <color theme="1"/>
        <name val="Calibri"/>
        <scheme val="minor"/>
      </font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9.000000"/>
        <color theme="1"/>
        <name val="Calibri"/>
        <scheme val="minor"/>
      </font>
      <alignment horizontal="left" indent="0" readingOrder="0" relativeIndent="0" shrinkToFit="0" textRotation="0" vertical="center" wrapText="1"/>
      <border>
        <left style="thin">
          <color auto="1"/>
        </left>
        <right style="none"/>
        <top style="thin">
          <color auto="1"/>
        </top>
        <bottom style="thin">
          <color auto="1"/>
        </bottom>
        <diagonal style="none"/>
      </border>
    </dxf>
    <dxf>
      <alignment horizontal="center" indent="0" readingOrder="0" relativeIndent="0" shrinkToFit="0" textRotation="0" vertical="center" wrapText="1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0" formatCode="General"/>
      <alignment horizontal="center" indent="0" readingOrder="0" relativeIndent="0" shrinkToFit="0" textRotation="0" vertical="center" wrapText="1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  <horizontal style="thin">
          <color auto="1"/>
        </horizontal>
      </border>
    </dxf>
    <dxf>
      <alignment horizontal="center" indent="0" readingOrder="0" relativeIndent="0" shrinkToFit="0" textRotation="0" vertical="center" wrapText="1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</border>
    </dxf>
    <dxf>
      <numFmt numFmtId="1" formatCode="0"/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</border>
    </dxf>
    <dxf>
      <numFmt numFmtId="0" formatCode="General"/>
      <alignment horizontal="center" indent="0" readingOrder="0" relativeIndent="0" shrinkToFit="0" textRotation="0" vertical="center" wrapText="1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diagonal style="none"/>
        <vertical style="thin">
          <color auto="1"/>
        </vertical>
      </border>
    </dxf>
    <dxf>
      <alignment horizontal="center" indent="0" readingOrder="0" relativeIndent="0" shrinkToFit="0" textRotation="0" vertical="center" wrapText="1"/>
    </dxf>
    <dxf>
      <alignment horizontal="center" indent="0" readingOrder="0" relativeIndent="0" shrinkToFit="0" textRotation="0" vertical="center" wrapText="1"/>
    </dxf>
    <dxf>
      <numFmt numFmtId="0" formatCode="General"/>
      <alignment horizontal="center" indent="0" readingOrder="0" relativeIndent="0" shrinkToFit="0" textRotation="0" vertical="center" wrapText="1"/>
    </dxf>
    <dxf>
      <alignment horizontal="center" indent="0" readingOrder="0" relativeIndent="0" shrinkToFit="0" textRotation="0" vertical="center" wrapText="1"/>
    </dxf>
    <dxf>
      <alignment horizontal="center" indent="0" readingOrder="0" relativeIndent="0" shrinkToFit="0" textRotation="0" vertical="center" wrapText="1"/>
    </dxf>
    <dxf>
      <numFmt numFmtId="0" formatCode="General"/>
      <alignment horizontal="center" indent="0" readingOrder="0" relativeIndent="0" shrinkToFit="0" textRotation="0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le1" ref="A8:H38">
  <autoFilter ref="A8:H38"/>
  <tableColumns count="8">
    <tableColumn id="1" name="ID" dataDxfId="0"/>
    <tableColumn id="2" name="Requirement" dataDxfId="1"/>
    <tableColumn id="3" name="Category" dataDxfId="2"/>
    <tableColumn id="4" name="Target / Criterion" dataDxfId="3"/>
    <tableColumn id="5" name="Unit" dataDxfId="4"/>
    <tableColumn id="6" name="Demand / Wish" dataDxfId="5"/>
    <tableColumn id="7" name="Weight" dataDxfId="6"/>
    <tableColumn id="8" name="Comments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elle2" ref="A9:H29">
  <autoFilter ref="A9:H29"/>
  <tableColumns count="8">
    <tableColumn id="1" name="ID" dataDxfId="8"/>
    <tableColumn id="2" name="Function" dataDxfId="9"/>
    <tableColumn id="3" name="Solution 1" dataDxfId="10"/>
    <tableColumn id="4" name="Solution 2" dataDxfId="11"/>
    <tableColumn id="5" name="Solution 3" dataDxfId="12"/>
    <tableColumn id="6" name="Solution 4" dataDxfId="13"/>
    <tableColumn id="7" name="Solution 5" dataDxfId="14"/>
    <tableColumn id="8" name="Solution 6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elle14" ref="A9:O38">
  <autoFilter ref="A9:O38"/>
  <tableColumns count="15">
    <tableColumn id="1" name="ID" dataDxfId="16"/>
    <tableColumn id="2" name="Requirement" dataDxfId="17"/>
    <tableColumn id="3" name="Target / Criterion" dataDxfId="18"/>
    <tableColumn id="4" name="Unit" dataDxfId="19"/>
    <tableColumn id="5" name="Demand / Wish" dataDxfId="20"/>
    <tableColumn id="6" name="Weight" dataDxfId="21"/>
    <tableColumn id="7" name="Degree of Fulfillment" dataDxfId="22"/>
    <tableColumn id="8" name="value [0…10]" dataDxfId="23"/>
    <tableColumn id="9" name="weighted value" dataDxfId="24"/>
    <tableColumn id="10" name="Degree of Fulfillment2" dataDxfId="25"/>
    <tableColumn id="11" name="value [0…10]2" dataDxfId="26"/>
    <tableColumn id="12" name="weighted value2" dataDxfId="27"/>
    <tableColumn id="13" name="Degree of Fulfillment3" dataDxfId="28"/>
    <tableColumn id="14" name="value [0…10]3" dataDxfId="29"/>
    <tableColumn id="15" name="weighted value3" dataDxfId="30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0" zoomScale="76" workbookViewId="0">
      <selection activeCell="A1" activeCellId="0" sqref="A1:H1"/>
    </sheetView>
  </sheetViews>
  <sheetFormatPr defaultColWidth="8.90625" defaultRowHeight="14.25"/>
  <cols>
    <col customWidth="1" min="1" max="1" style="1" width="6"/>
    <col customWidth="1" min="2" max="2" style="1" width="46.28125"/>
    <col customWidth="1" min="3" max="3" style="1" width="18"/>
    <col customWidth="1" min="4" max="4" style="1" width="27.08984375"/>
    <col customWidth="1" min="5" max="5" style="1" width="9.57421875"/>
    <col customWidth="1" min="6" max="6" style="1" width="16.1796875"/>
    <col customWidth="1" min="7" max="7" style="1" width="10"/>
    <col customWidth="1" min="8" max="8" style="1" width="30"/>
    <col min="9" max="16384" style="1" width="8.90625"/>
  </cols>
  <sheetData>
    <row r="1" ht="29.399999999999999" customHeight="1">
      <c r="A1" s="2" t="s">
        <v>0</v>
      </c>
      <c r="B1" s="2"/>
      <c r="C1" s="2"/>
      <c r="D1" s="2"/>
      <c r="E1" s="2"/>
      <c r="F1" s="2"/>
      <c r="G1" s="2"/>
      <c r="H1" s="2"/>
    </row>
    <row r="2" ht="29.399999999999999" customHeight="1">
      <c r="A2" s="3" t="s">
        <v>1</v>
      </c>
      <c r="B2" s="4"/>
      <c r="C2" s="4"/>
      <c r="D2" s="4"/>
      <c r="E2" s="4"/>
      <c r="F2" s="4"/>
      <c r="G2" s="4"/>
      <c r="H2" s="5"/>
    </row>
    <row r="3">
      <c r="A3" s="6"/>
      <c r="B3" s="7" t="s">
        <v>2</v>
      </c>
      <c r="C3" s="8" t="s">
        <v>3</v>
      </c>
    </row>
    <row r="4">
      <c r="A4" s="9"/>
      <c r="B4" s="1" t="s">
        <v>4</v>
      </c>
      <c r="C4" s="10">
        <v>9</v>
      </c>
    </row>
    <row r="5">
      <c r="A5" s="9"/>
      <c r="B5" s="1" t="s">
        <v>5</v>
      </c>
      <c r="C5" s="10">
        <v>2</v>
      </c>
    </row>
    <row r="6">
      <c r="A6" s="11"/>
      <c r="B6" s="12" t="s">
        <v>6</v>
      </c>
      <c r="C6" s="13">
        <v>46227</v>
      </c>
    </row>
    <row r="8">
      <c r="A8" s="14" t="s">
        <v>7</v>
      </c>
      <c r="B8" s="15" t="s">
        <v>8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13</v>
      </c>
      <c r="H8" s="16" t="s">
        <v>14</v>
      </c>
    </row>
    <row r="9" ht="26.399999999999999" customHeight="1">
      <c r="A9" s="17">
        <v>1</v>
      </c>
      <c r="B9" s="18" t="s">
        <v>15</v>
      </c>
      <c r="C9" s="18" t="s">
        <v>16</v>
      </c>
      <c r="D9" s="18" t="s">
        <v>17</v>
      </c>
      <c r="E9" s="18" t="s">
        <v>18</v>
      </c>
      <c r="F9" s="18" t="s">
        <v>19</v>
      </c>
      <c r="G9" s="19">
        <v>0.080000000000000002</v>
      </c>
      <c r="H9" s="20" t="s">
        <v>20</v>
      </c>
    </row>
    <row r="10" ht="26.399999999999999" customHeight="1">
      <c r="A10" s="17">
        <v>2</v>
      </c>
      <c r="B10" s="18" t="s">
        <v>21</v>
      </c>
      <c r="C10" s="18" t="s">
        <v>22</v>
      </c>
      <c r="D10" s="18" t="s">
        <v>23</v>
      </c>
      <c r="E10" s="18" t="s">
        <v>24</v>
      </c>
      <c r="F10" s="18" t="s">
        <v>19</v>
      </c>
      <c r="G10" s="19">
        <v>0.070000000000000007</v>
      </c>
      <c r="H10" s="20" t="s">
        <v>25</v>
      </c>
    </row>
    <row r="11" ht="26.399999999999999" customHeight="1">
      <c r="A11" s="17">
        <v>3</v>
      </c>
      <c r="B11" s="18" t="s">
        <v>26</v>
      </c>
      <c r="C11" s="18" t="s">
        <v>27</v>
      </c>
      <c r="D11" s="21" t="s">
        <v>28</v>
      </c>
      <c r="E11" s="18" t="s">
        <v>29</v>
      </c>
      <c r="F11" s="18" t="s">
        <v>19</v>
      </c>
      <c r="G11" s="19">
        <v>0.050000000000000003</v>
      </c>
      <c r="H11" s="20" t="s">
        <v>30</v>
      </c>
    </row>
    <row r="12" ht="26.399999999999999" customHeight="1">
      <c r="A12" s="17">
        <v>4</v>
      </c>
      <c r="B12" s="18" t="s">
        <v>31</v>
      </c>
      <c r="C12" s="18" t="s">
        <v>32</v>
      </c>
      <c r="D12" s="18" t="s">
        <v>33</v>
      </c>
      <c r="E12" s="18" t="s">
        <v>34</v>
      </c>
      <c r="F12" s="18" t="s">
        <v>35</v>
      </c>
      <c r="G12" s="19">
        <v>0.029999999999999999</v>
      </c>
      <c r="H12" s="20" t="s">
        <v>36</v>
      </c>
    </row>
    <row r="13" ht="26.399999999999999" customHeight="1">
      <c r="A13" s="17">
        <v>5</v>
      </c>
      <c r="B13" s="18" t="s">
        <v>37</v>
      </c>
      <c r="C13" s="18" t="s">
        <v>38</v>
      </c>
      <c r="D13" s="18" t="s">
        <v>39</v>
      </c>
      <c r="E13" s="18" t="s">
        <v>35</v>
      </c>
      <c r="F13" s="18" t="s">
        <v>19</v>
      </c>
      <c r="G13" s="19">
        <v>0.059999999999999998</v>
      </c>
      <c r="H13" s="20" t="s">
        <v>40</v>
      </c>
    </row>
    <row r="14" ht="26.399999999999999" customHeight="1">
      <c r="A14" s="17">
        <v>6</v>
      </c>
      <c r="B14" s="18" t="s">
        <v>41</v>
      </c>
      <c r="C14" s="18" t="s">
        <v>27</v>
      </c>
      <c r="D14" s="21" t="s">
        <v>42</v>
      </c>
      <c r="E14" s="18" t="s">
        <v>43</v>
      </c>
      <c r="F14" s="18" t="s">
        <v>19</v>
      </c>
      <c r="G14" s="19">
        <v>0.040000000000000001</v>
      </c>
      <c r="H14" s="20" t="s">
        <v>44</v>
      </c>
    </row>
    <row r="15" ht="26.399999999999999" customHeight="1">
      <c r="A15" s="17">
        <v>7</v>
      </c>
      <c r="B15" s="18" t="s">
        <v>45</v>
      </c>
      <c r="C15" s="18" t="s">
        <v>16</v>
      </c>
      <c r="D15" s="18" t="s">
        <v>46</v>
      </c>
      <c r="E15" s="18" t="s">
        <v>47</v>
      </c>
      <c r="F15" s="18" t="s">
        <v>19</v>
      </c>
      <c r="G15" s="19">
        <v>0.050000000000000003</v>
      </c>
      <c r="H15" t="s">
        <v>48</v>
      </c>
    </row>
    <row r="16" ht="26.399999999999999" customHeight="1">
      <c r="A16" s="17">
        <v>8</v>
      </c>
      <c r="B16" s="18" t="s">
        <v>49</v>
      </c>
      <c r="C16" s="18" t="s">
        <v>22</v>
      </c>
      <c r="D16" s="18" t="s">
        <v>39</v>
      </c>
      <c r="E16" s="18" t="s">
        <v>47</v>
      </c>
      <c r="F16" s="18" t="s">
        <v>35</v>
      </c>
      <c r="G16" s="19">
        <v>0.070000000000000007</v>
      </c>
      <c r="H16" s="20" t="s">
        <v>50</v>
      </c>
    </row>
    <row r="17" ht="26.399999999999999" customHeight="1">
      <c r="A17" s="17">
        <v>9</v>
      </c>
      <c r="B17" s="18" t="s">
        <v>51</v>
      </c>
      <c r="C17" s="18" t="s">
        <v>52</v>
      </c>
      <c r="D17" s="18">
        <v>100</v>
      </c>
      <c r="E17" s="18" t="s">
        <v>53</v>
      </c>
      <c r="F17" s="18" t="s">
        <v>19</v>
      </c>
      <c r="G17" s="19">
        <v>0.040000000000000001</v>
      </c>
      <c r="H17" s="20" t="s">
        <v>54</v>
      </c>
    </row>
    <row r="18" ht="26.399999999999999" customHeight="1">
      <c r="A18" s="17">
        <v>10</v>
      </c>
      <c r="B18" s="18" t="s">
        <v>55</v>
      </c>
      <c r="C18" s="18" t="s">
        <v>56</v>
      </c>
      <c r="D18" s="18" t="s">
        <v>57</v>
      </c>
      <c r="E18" s="18" t="s">
        <v>57</v>
      </c>
      <c r="F18" s="18" t="s">
        <v>19</v>
      </c>
      <c r="G18" s="19">
        <v>0.050000000000000003</v>
      </c>
      <c r="H18" s="20" t="s">
        <v>58</v>
      </c>
    </row>
    <row r="19" ht="26.399999999999999" customHeight="1">
      <c r="A19" s="17">
        <v>11</v>
      </c>
      <c r="B19" s="18" t="s">
        <v>59</v>
      </c>
      <c r="C19" s="18" t="s">
        <v>60</v>
      </c>
      <c r="D19" s="18" t="s">
        <v>61</v>
      </c>
      <c r="E19" s="18" t="s">
        <v>57</v>
      </c>
      <c r="F19" s="18" t="s">
        <v>35</v>
      </c>
      <c r="G19" s="19">
        <v>0.029999999999999999</v>
      </c>
      <c r="H19" s="20" t="s">
        <v>62</v>
      </c>
    </row>
    <row r="20" ht="26.399999999999999" customHeight="1">
      <c r="A20" s="17">
        <v>12</v>
      </c>
      <c r="B20" s="18" t="s">
        <v>63</v>
      </c>
      <c r="C20" s="18" t="s">
        <v>22</v>
      </c>
      <c r="D20" s="18" t="s">
        <v>64</v>
      </c>
      <c r="E20" s="18" t="s">
        <v>65</v>
      </c>
      <c r="F20" s="18" t="s">
        <v>35</v>
      </c>
      <c r="G20" s="19">
        <v>0.040000000000000001</v>
      </c>
      <c r="H20" s="20" t="s">
        <v>66</v>
      </c>
    </row>
    <row r="21" ht="26.399999999999999" customHeight="1">
      <c r="A21" s="17">
        <v>13</v>
      </c>
      <c r="B21" s="18" t="s">
        <v>67</v>
      </c>
      <c r="C21" s="18" t="s">
        <v>32</v>
      </c>
      <c r="D21" s="18" t="s">
        <v>68</v>
      </c>
      <c r="E21" s="18" t="s">
        <v>57</v>
      </c>
      <c r="F21" s="18" t="s">
        <v>35</v>
      </c>
      <c r="G21" s="19">
        <v>0.029999999999999999</v>
      </c>
      <c r="H21" t="s">
        <v>69</v>
      </c>
    </row>
    <row r="22" ht="26.399999999999999" customHeight="1">
      <c r="A22" s="17">
        <v>14</v>
      </c>
      <c r="B22" s="22" t="s">
        <v>70</v>
      </c>
      <c r="C22" s="22" t="s">
        <v>71</v>
      </c>
      <c r="D22" s="1">
        <v>10</v>
      </c>
      <c r="E22" s="18" t="s">
        <v>72</v>
      </c>
      <c r="F22" s="18" t="s">
        <v>19</v>
      </c>
      <c r="G22" s="19">
        <v>0.029999999999999999</v>
      </c>
      <c r="H22" t="s">
        <v>73</v>
      </c>
    </row>
    <row r="23">
      <c r="A23" s="17">
        <v>15</v>
      </c>
      <c r="B23" s="23" t="s">
        <v>74</v>
      </c>
      <c r="C23" s="1" t="s">
        <v>71</v>
      </c>
      <c r="D23" s="23" t="s">
        <v>75</v>
      </c>
      <c r="E23" s="18" t="s">
        <v>57</v>
      </c>
      <c r="F23" s="18" t="s">
        <v>19</v>
      </c>
      <c r="G23" s="19">
        <v>0.029999999999999999</v>
      </c>
      <c r="H23" t="s">
        <v>76</v>
      </c>
    </row>
    <row r="24" ht="26.399999999999999" customHeight="1">
      <c r="A24" s="24">
        <v>16</v>
      </c>
      <c r="B24" s="23" t="s">
        <v>77</v>
      </c>
      <c r="C24" s="23" t="s">
        <v>71</v>
      </c>
      <c r="D24" s="25" t="s">
        <v>78</v>
      </c>
      <c r="E24" s="18" t="s">
        <v>57</v>
      </c>
      <c r="F24" s="18" t="s">
        <v>19</v>
      </c>
      <c r="G24" s="19">
        <v>0.029999999999999999</v>
      </c>
      <c r="H24" t="s">
        <v>79</v>
      </c>
    </row>
    <row r="25" ht="26.399999999999999" customHeight="1">
      <c r="A25" s="17">
        <v>17</v>
      </c>
      <c r="B25" s="26" t="s">
        <v>80</v>
      </c>
      <c r="C25" s="23" t="s">
        <v>71</v>
      </c>
      <c r="D25" s="23" t="s">
        <v>81</v>
      </c>
      <c r="E25" s="27" t="s">
        <v>57</v>
      </c>
      <c r="F25" s="22" t="s">
        <v>19</v>
      </c>
      <c r="G25" s="28">
        <v>0.040000000000000001</v>
      </c>
      <c r="H25" s="1"/>
    </row>
    <row r="26" ht="39" customHeight="1">
      <c r="A26" s="17">
        <v>18</v>
      </c>
      <c r="B26" s="1" t="s">
        <v>82</v>
      </c>
      <c r="C26" s="23" t="s">
        <v>71</v>
      </c>
      <c r="D26" s="23" t="s">
        <v>81</v>
      </c>
      <c r="E26" s="27" t="s">
        <v>57</v>
      </c>
      <c r="F26" s="22" t="s">
        <v>19</v>
      </c>
      <c r="G26" s="28">
        <v>0.040000000000000001</v>
      </c>
    </row>
    <row r="27" ht="26.399999999999999" customHeight="1">
      <c r="A27" s="17">
        <v>19</v>
      </c>
      <c r="B27" s="1" t="s">
        <v>83</v>
      </c>
      <c r="C27" s="23" t="s">
        <v>71</v>
      </c>
      <c r="D27" s="23" t="s">
        <v>81</v>
      </c>
      <c r="E27" s="27" t="s">
        <v>57</v>
      </c>
      <c r="F27" s="29" t="s">
        <v>19</v>
      </c>
      <c r="G27" s="28">
        <v>0.029999999999999999</v>
      </c>
    </row>
    <row r="28" ht="28.5">
      <c r="A28" s="17">
        <v>20</v>
      </c>
      <c r="B28" s="30" t="s">
        <v>84</v>
      </c>
      <c r="C28" s="30" t="s">
        <v>60</v>
      </c>
      <c r="D28" s="30" t="s">
        <v>85</v>
      </c>
      <c r="E28" s="30" t="s">
        <v>24</v>
      </c>
      <c r="F28" s="30" t="s">
        <v>35</v>
      </c>
      <c r="G28" s="31">
        <v>0.02</v>
      </c>
      <c r="H28" s="20" t="s">
        <v>86</v>
      </c>
    </row>
    <row r="29" ht="14.25">
      <c r="A29" s="17">
        <v>21</v>
      </c>
      <c r="B29" s="18" t="s">
        <v>87</v>
      </c>
      <c r="C29" s="22" t="s">
        <v>56</v>
      </c>
      <c r="D29" s="22" t="s">
        <v>88</v>
      </c>
      <c r="E29" s="18" t="s">
        <v>57</v>
      </c>
      <c r="F29" s="18" t="s">
        <v>19</v>
      </c>
      <c r="G29" s="19">
        <v>0.040000000000000001</v>
      </c>
      <c r="H29" s="20" t="s">
        <v>89</v>
      </c>
    </row>
    <row r="30" ht="42.75">
      <c r="A30" s="17">
        <v>22</v>
      </c>
      <c r="B30" s="1" t="s">
        <v>90</v>
      </c>
      <c r="C30" s="22" t="s">
        <v>22</v>
      </c>
      <c r="D30" s="26" t="s">
        <v>91</v>
      </c>
      <c r="E30" s="18" t="s">
        <v>92</v>
      </c>
      <c r="F30" s="18" t="s">
        <v>19</v>
      </c>
      <c r="G30" s="19">
        <v>0.029999999999999999</v>
      </c>
      <c r="H30" s="20" t="s">
        <v>93</v>
      </c>
    </row>
    <row r="31" ht="42.75">
      <c r="A31" s="17">
        <v>23</v>
      </c>
      <c r="B31" s="1" t="s">
        <v>94</v>
      </c>
      <c r="C31" s="18" t="s">
        <v>32</v>
      </c>
      <c r="D31" s="18" t="s">
        <v>95</v>
      </c>
      <c r="E31" s="18" t="s">
        <v>57</v>
      </c>
      <c r="F31" s="18" t="s">
        <v>19</v>
      </c>
      <c r="G31" s="19">
        <v>0.050000000000000003</v>
      </c>
      <c r="H31" s="20" t="s">
        <v>96</v>
      </c>
    </row>
    <row r="32" ht="71.25">
      <c r="A32" s="17">
        <v>24</v>
      </c>
      <c r="B32" s="22" t="s">
        <v>97</v>
      </c>
      <c r="C32" s="22" t="s">
        <v>27</v>
      </c>
      <c r="D32" s="22" t="s">
        <v>98</v>
      </c>
      <c r="E32" s="22" t="s">
        <v>57</v>
      </c>
      <c r="F32" s="22" t="s">
        <v>19</v>
      </c>
      <c r="G32" s="32">
        <v>0.02</v>
      </c>
      <c r="H32" s="33" t="s">
        <v>99</v>
      </c>
    </row>
    <row r="33" ht="26.399999999999999" customHeight="1">
      <c r="A33" s="24">
        <v>25</v>
      </c>
      <c r="B33" s="23"/>
      <c r="C33" s="23"/>
      <c r="D33" s="23"/>
      <c r="E33" s="23"/>
      <c r="F33" s="23"/>
      <c r="G33" s="23"/>
      <c r="H33" s="1"/>
    </row>
    <row r="34" ht="26.399999999999999" customHeight="1">
      <c r="A34" s="24">
        <v>26</v>
      </c>
      <c r="B34" s="23"/>
      <c r="C34" s="23"/>
      <c r="D34" s="23"/>
      <c r="E34" s="23"/>
      <c r="F34" s="23"/>
      <c r="G34" s="23"/>
      <c r="H34" s="23"/>
    </row>
    <row r="35" ht="26.399999999999999" customHeight="1">
      <c r="A35" s="17">
        <v>27</v>
      </c>
      <c r="B35" s="1"/>
      <c r="C35" s="23"/>
      <c r="D35" s="23"/>
      <c r="E35" s="23"/>
      <c r="F35" s="23"/>
      <c r="G35" s="23"/>
      <c r="H35" s="1"/>
    </row>
    <row r="36" ht="26.399999999999999" customHeight="1">
      <c r="A36" s="17">
        <v>28</v>
      </c>
      <c r="B36" s="1"/>
      <c r="C36" s="23"/>
      <c r="D36" s="23"/>
      <c r="E36" s="23"/>
      <c r="F36" s="23"/>
      <c r="G36" s="23"/>
      <c r="H36" s="1"/>
    </row>
    <row r="37" ht="26.399999999999999" customHeight="1">
      <c r="A37" s="17">
        <v>29</v>
      </c>
      <c r="B37" s="1"/>
      <c r="C37" s="23"/>
      <c r="D37" s="23"/>
      <c r="E37" s="23"/>
      <c r="F37" s="23"/>
      <c r="G37" s="23"/>
      <c r="H37" s="1"/>
    </row>
    <row r="38" ht="26.399999999999999" customHeight="1">
      <c r="A38" s="17">
        <v>30</v>
      </c>
      <c r="B38" s="18"/>
      <c r="C38" s="30"/>
      <c r="D38" s="30"/>
      <c r="E38" s="30"/>
      <c r="F38" s="30"/>
      <c r="G38" s="31"/>
      <c r="H38" s="20"/>
    </row>
    <row r="39">
      <c r="F39" s="6" t="s">
        <v>100</v>
      </c>
      <c r="G39" s="34">
        <f>SUM(G9:G38)</f>
        <v>1.0000000000000004</v>
      </c>
    </row>
    <row r="40">
      <c r="F40" s="11" t="s">
        <v>101</v>
      </c>
      <c r="G40" s="35" t="str">
        <f>IF(ABS(G39-1)&lt;0.000001,"OK","Weights must sum to 1.000")</f>
        <v>OK</v>
      </c>
    </row>
  </sheetData>
  <mergeCells count="2">
    <mergeCell ref="A1:H1"/>
    <mergeCell ref="A2:H2"/>
  </mergeCells>
  <printOptions headings="0" gridLines="0"/>
  <pageMargins left="0.75" right="0.75" top="1" bottom="1" header="0.5" footer="0.5"/>
  <pageSetup paperSize="8" scale="83" fitToWidth="1" fitToHeight="0" pageOrder="downThenOver" orientation="portrait" usePrinterDefaults="1" blackAndWhite="0" draft="0" cellComments="none" useFirstPageNumber="0" errors="displayed" horizontalDpi="1200" verticalDpi="12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F707E401-53EC-412D-BB4D-70FA3848EC3F}" type="list" allowBlank="0" errorStyle="stop" imeMode="noControl" operator="between" showDropDown="0" showErrorMessage="0" showInputMessage="0">
          <x14:formula1>
            <xm:f>CategoryList</xm:f>
          </x14:formula1>
          <xm:sqref>C9:C18 C38</xm:sqref>
        </x14:dataValidation>
        <x14:dataValidation xr:uid="{D717C77D-1AF8-471B-BAA7-B251DDD526F9}" type="list" allowBlank="0" errorStyle="stop" imeMode="noControl" operator="between" showDropDown="0" showErrorMessage="0" showInputMessage="0">
          <x14:formula1>
            <xm:f>PriorityList</xm:f>
          </x14:formula1>
          <xm:sqref>F9:F24 F32 F38</xm:sqref>
        </x14:dataValidation>
        <x14:dataValidation xr:uid="{91155C2A-346C-4FC5-928A-7A36D0CA474D}" type="list" allowBlank="0" errorStyle="stop" imeMode="noControl" operator="between" showDropDown="0" showErrorMessage="0" showInputMessage="0">
          <x14:formula1>
            <xm:f>CategoryList</xm:f>
          </x14:formula1>
          <xm:sqref>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topLeftCell="G1" zoomScale="60" workbookViewId="0">
      <selection activeCell="T20" activeCellId="0" sqref="T20"/>
    </sheetView>
  </sheetViews>
  <sheetFormatPr defaultColWidth="10.90625" defaultRowHeight="14.25"/>
  <cols>
    <col customWidth="1" min="1" max="1" width="5.1796875"/>
    <col customWidth="1" min="2" max="2" width="20"/>
    <col customWidth="1" min="3" max="3" width="17.00390625"/>
    <col customWidth="1" min="4" max="8" width="14.6328125"/>
    <col customWidth="1" min="9" max="9" width="2.6328125"/>
    <col customWidth="1" min="11" max="11" width="22.08984375"/>
    <col customWidth="1" min="12" max="12" width="3.1796875"/>
    <col customWidth="1" min="14" max="14" width="22.08984375"/>
    <col customWidth="1" min="15" max="15" width="3.1796875"/>
    <col customWidth="1" min="17" max="17" width="24.28125"/>
    <col customWidth="1" min="18" max="18" width="3.8515625"/>
    <col customWidth="1" min="20" max="20" width="21.00390625"/>
  </cols>
  <sheetData>
    <row r="1" ht="35.399999999999999" customHeight="1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5.399999999999999" customHeight="1">
      <c r="A2" s="3" t="s">
        <v>103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>
      <c r="A3" s="6"/>
      <c r="B3" s="7" t="s">
        <v>2</v>
      </c>
      <c r="C3" s="36" t="s">
        <v>3</v>
      </c>
      <c r="D3" s="37"/>
      <c r="E3" s="1"/>
      <c r="H3" s="38"/>
    </row>
    <row r="4">
      <c r="A4" s="9"/>
      <c r="B4" s="1" t="s">
        <v>4</v>
      </c>
      <c r="C4" s="39">
        <v>9</v>
      </c>
      <c r="D4" s="40"/>
      <c r="E4" s="1"/>
      <c r="H4" s="1"/>
    </row>
    <row r="5">
      <c r="A5" s="9"/>
      <c r="B5" s="1" t="s">
        <v>5</v>
      </c>
      <c r="C5" s="39">
        <v>1</v>
      </c>
      <c r="D5" s="40"/>
      <c r="E5" s="1"/>
      <c r="H5" s="38"/>
    </row>
    <row r="6">
      <c r="A6" s="11"/>
      <c r="B6" s="12" t="s">
        <v>6</v>
      </c>
      <c r="C6" s="41" t="s">
        <v>104</v>
      </c>
      <c r="D6" s="42"/>
      <c r="E6" s="1"/>
      <c r="H6" s="43"/>
    </row>
    <row r="7">
      <c r="A7" s="1"/>
      <c r="B7" s="1"/>
      <c r="C7" s="1"/>
      <c r="D7" s="1"/>
      <c r="E7" s="1"/>
      <c r="J7" s="44" t="s">
        <v>105</v>
      </c>
      <c r="K7" s="44"/>
      <c r="L7" s="45"/>
      <c r="M7" s="46" t="s">
        <v>106</v>
      </c>
      <c r="N7" s="47"/>
      <c r="O7" s="45"/>
      <c r="P7" s="44" t="s">
        <v>107</v>
      </c>
      <c r="Q7" s="44"/>
    </row>
    <row r="8">
      <c r="A8" s="1"/>
      <c r="B8" s="1"/>
      <c r="C8" s="1"/>
      <c r="D8" s="1"/>
      <c r="E8" s="1"/>
      <c r="F8" s="1"/>
      <c r="G8" s="1"/>
      <c r="H8" s="48"/>
      <c r="J8" s="49" t="s">
        <v>108</v>
      </c>
      <c r="K8" s="49" t="s">
        <v>109</v>
      </c>
      <c r="M8" s="49" t="s">
        <v>108</v>
      </c>
      <c r="N8" s="49" t="s">
        <v>110</v>
      </c>
      <c r="P8" s="49" t="s">
        <v>108</v>
      </c>
      <c r="Q8" s="49" t="s">
        <v>111</v>
      </c>
    </row>
    <row r="9" ht="24" customHeight="1">
      <c r="A9" s="50" t="s">
        <v>7</v>
      </c>
      <c r="B9" s="51" t="s">
        <v>16</v>
      </c>
      <c r="C9" s="52" t="s">
        <v>112</v>
      </c>
      <c r="D9" s="52" t="s">
        <v>113</v>
      </c>
      <c r="E9" s="52" t="s">
        <v>114</v>
      </c>
      <c r="F9" s="52" t="s">
        <v>115</v>
      </c>
      <c r="G9" s="52" t="s">
        <v>116</v>
      </c>
      <c r="H9" s="53" t="s">
        <v>117</v>
      </c>
      <c r="J9" s="49" t="s">
        <v>118</v>
      </c>
      <c r="K9" s="54" t="s">
        <v>119</v>
      </c>
      <c r="M9" s="49" t="s">
        <v>118</v>
      </c>
      <c r="N9" s="54" t="s">
        <v>119</v>
      </c>
      <c r="P9" s="49" t="s">
        <v>118</v>
      </c>
      <c r="Q9" s="54" t="s">
        <v>119</v>
      </c>
    </row>
    <row r="10" ht="57">
      <c r="A10" s="55">
        <v>1</v>
      </c>
      <c r="B10" s="56" t="s">
        <v>120</v>
      </c>
      <c r="C10" s="57" t="s">
        <v>121</v>
      </c>
      <c r="D10" s="23" t="s">
        <v>122</v>
      </c>
      <c r="E10" s="23" t="s">
        <v>123</v>
      </c>
      <c r="F10" s="58" t="s">
        <v>124</v>
      </c>
      <c r="G10" s="58" t="s">
        <v>125</v>
      </c>
      <c r="H10" s="24" t="s">
        <v>126</v>
      </c>
      <c r="J10" s="59">
        <v>2</v>
      </c>
      <c r="K10" s="60" t="str">
        <f>IFERROR(IF(J10="","",INDEX(Tabelle2[[#This Row],[Solution 1]:[Solution 6]],J10)),"")</f>
        <v>Paddeling</v>
      </c>
      <c r="M10" s="59">
        <v>6</v>
      </c>
      <c r="N10" s="60" t="str">
        <f>IFERROR(IF(M10="","",INDEX(Tabelle2[[#This Row],[Solution 1]:[Solution 6]],M10)),"")</f>
        <v xml:space="preserve">Hybrid system (pedal battery power assist propulsion)</v>
      </c>
      <c r="P10" s="59">
        <v>4</v>
      </c>
      <c r="Q10" s="60" t="str">
        <f>IFERROR(IF(P10="","",INDEX(Tabelle2[[#This Row],[Solution 1]:[Solution 6]],P10)),"")</f>
        <v xml:space="preserve">Submerged
 Electric 
Propellers</v>
      </c>
    </row>
    <row r="11" ht="57">
      <c r="A11" s="61">
        <v>2</v>
      </c>
      <c r="B11" s="62" t="s">
        <v>127</v>
      </c>
      <c r="C11" s="1" t="s">
        <v>128</v>
      </c>
      <c r="D11" s="30" t="s">
        <v>129</v>
      </c>
      <c r="E11" s="30" t="s">
        <v>130</v>
      </c>
      <c r="F11" s="30" t="s">
        <v>131</v>
      </c>
      <c r="G11" s="30" t="s">
        <v>132</v>
      </c>
      <c r="H11" s="30"/>
      <c r="J11" s="59">
        <v>1</v>
      </c>
      <c r="K11" s="60" t="str">
        <f>IFERROR(IF(J11="","",INDEX(Tabelle2[[#This Row],[Solution 1]:[Solution 6]],J11)),"")</f>
        <v xml:space="preserve">Human eye</v>
      </c>
      <c r="M11" s="59">
        <v>1</v>
      </c>
      <c r="N11" s="60" t="str">
        <f>IFERROR(IF(M11="","",INDEX(Tabelle2[[#This Row],[Solution 1]:[Solution 6]],M11)),"")</f>
        <v xml:space="preserve">Human eye</v>
      </c>
      <c r="P11" s="59">
        <v>5</v>
      </c>
      <c r="Q11" s="60" t="str">
        <f>IFERROR(IF(P11="","",INDEX(Tabelle2[[#This Row],[Solution 1]:[Solution 6]],P11)),"")</f>
        <v xml:space="preserve">Embedded Motion sensors and Camera</v>
      </c>
    </row>
    <row r="12" ht="57">
      <c r="A12" s="61">
        <v>3</v>
      </c>
      <c r="B12" s="63" t="s">
        <v>133</v>
      </c>
      <c r="C12" s="1" t="s">
        <v>134</v>
      </c>
      <c r="D12" s="18" t="s">
        <v>135</v>
      </c>
      <c r="E12" s="18" t="s">
        <v>136</v>
      </c>
      <c r="F12" s="18" t="s">
        <v>137</v>
      </c>
      <c r="G12" s="18" t="s">
        <v>138</v>
      </c>
      <c r="H12" s="18" t="s">
        <v>139</v>
      </c>
      <c r="J12" s="59">
        <v>1</v>
      </c>
      <c r="K12" s="60" t="str">
        <f>IFERROR(IF(J12="","",INDEX(Tabelle2[[#This Row],[Solution 1]:[Solution 6]],J12)),"")</f>
        <v>Trident</v>
      </c>
      <c r="M12" s="59">
        <v>4</v>
      </c>
      <c r="N12" s="60" t="str">
        <f>IFERROR(IF(M12="","",INDEX(Tabelle2[[#This Row],[Solution 1]:[Solution 6]],M12)),"")</f>
        <v xml:space="preserve">ELectrical power assisted Manual Conveyor system</v>
      </c>
      <c r="P12" s="59">
        <v>5</v>
      </c>
      <c r="Q12" s="60" t="str">
        <f>IFERROR(IF(P12="","",INDEX(Tabelle2[[#This Row],[Solution 1]:[Solution 6]],P12)),"")</f>
        <v xml:space="preserve">Electrical powerd Conveyor system</v>
      </c>
    </row>
    <row r="13" ht="34.25" customHeight="1">
      <c r="A13" s="61">
        <v>4</v>
      </c>
      <c r="B13" s="63" t="s">
        <v>140</v>
      </c>
      <c r="C13" s="18" t="s">
        <v>141</v>
      </c>
      <c r="D13" s="18" t="s">
        <v>142</v>
      </c>
      <c r="E13" s="18" t="s">
        <v>143</v>
      </c>
      <c r="F13" s="1"/>
      <c r="G13" s="18"/>
      <c r="H13" s="18"/>
      <c r="J13" s="59">
        <v>1</v>
      </c>
      <c r="K13" s="60" t="str">
        <f>IFERROR(IF(J13="","",INDEX(Tabelle2[[#This Row],[Solution 1]:[Solution 6]],J13)),"")</f>
        <v xml:space="preserve">Perforated Basket</v>
      </c>
      <c r="M13" s="59">
        <v>2</v>
      </c>
      <c r="N13" s="60" t="str">
        <f>IFERROR(IF(M13="","",INDEX(Tabelle2[[#This Row],[Solution 1]:[Solution 6]],M13)),"")</f>
        <v xml:space="preserve">Perforated Belt Conveyor</v>
      </c>
      <c r="P13" s="59">
        <v>2</v>
      </c>
      <c r="Q13" s="60" t="str">
        <f>IFERROR(IF(P13="","",INDEX(Tabelle2[[#This Row],[Solution 1]:[Solution 6]],P13)),"")</f>
        <v xml:space="preserve">Perforated Belt Conveyor</v>
      </c>
    </row>
    <row r="14" ht="28.5">
      <c r="A14" s="61">
        <v>5</v>
      </c>
      <c r="B14" s="64" t="s">
        <v>144</v>
      </c>
      <c r="C14" s="1" t="s">
        <v>145</v>
      </c>
      <c r="D14" s="22" t="s">
        <v>141</v>
      </c>
      <c r="E14" s="18" t="s">
        <v>146</v>
      </c>
      <c r="F14" s="18"/>
      <c r="G14" s="18"/>
      <c r="H14" s="18"/>
      <c r="J14" s="59">
        <v>3</v>
      </c>
      <c r="K14" s="60" t="str">
        <f>IFERROR(IF(J14="","",INDEX(Tabelle2[[#This Row],[Solution 1]:[Solution 6]],J14)),"")</f>
        <v xml:space="preserve">Sequential Dumping spots </v>
      </c>
      <c r="M14" s="59">
        <v>2</v>
      </c>
      <c r="N14" s="60" t="str">
        <f>IFERROR(IF(M14="","",INDEX(Tabelle2[[#This Row],[Solution 1]:[Solution 6]],M14)),"")</f>
        <v xml:space="preserve">Perforated Basket</v>
      </c>
      <c r="P14" s="59">
        <v>2</v>
      </c>
      <c r="Q14" s="60" t="str">
        <f>IFERROR(IF(P14="","",INDEX(Tabelle2[[#This Row],[Solution 1]:[Solution 6]],P14)),"")</f>
        <v xml:space="preserve">Perforated Basket</v>
      </c>
    </row>
    <row r="15" ht="71.25">
      <c r="A15" s="55">
        <v>6</v>
      </c>
      <c r="B15" s="62" t="s">
        <v>147</v>
      </c>
      <c r="C15" s="1" t="s">
        <v>128</v>
      </c>
      <c r="D15" s="30" t="s">
        <v>148</v>
      </c>
      <c r="E15" s="22" t="s">
        <v>149</v>
      </c>
      <c r="G15" s="18"/>
      <c r="H15" s="18"/>
      <c r="J15" s="59">
        <v>1</v>
      </c>
      <c r="K15" s="60" t="str">
        <f>IFERROR(IF(J15="","",INDEX(Tabelle2[[#This Row],[Solution 1]:[Solution 6]],J15)),"")</f>
        <v xml:space="preserve">Human eye</v>
      </c>
      <c r="M15" s="59">
        <v>2</v>
      </c>
      <c r="N15" s="60" t="str">
        <f>IFERROR(IF(M15="","",INDEX(Tabelle2[[#This Row],[Solution 1]:[Solution 6]],M15)),"")</f>
        <v xml:space="preserve">Weight-Based Monitoring (Strain Gauge Load Cells)</v>
      </c>
      <c r="P15" s="59">
        <v>3</v>
      </c>
      <c r="Q15" s="60" t="str">
        <f>IFERROR(IF(P15="","",INDEX(Tabelle2[[#This Row],[Solution 1]:[Solution 6]],P15)),"")</f>
        <v xml:space="preserve">Level/Volume Monitoring (IP67 Ultrasonic Distance Sensors)</v>
      </c>
    </row>
    <row r="16" ht="28.5">
      <c r="A16" s="61">
        <v>7</v>
      </c>
      <c r="B16" s="63" t="s">
        <v>150</v>
      </c>
      <c r="C16" s="1" t="s">
        <v>151</v>
      </c>
      <c r="D16" s="22" t="s">
        <v>152</v>
      </c>
      <c r="E16" s="65" t="s">
        <v>153</v>
      </c>
      <c r="F16" s="17"/>
      <c r="G16" s="18"/>
      <c r="H16" s="18"/>
      <c r="J16" s="59">
        <v>1</v>
      </c>
      <c r="K16" s="60" t="str">
        <f>IFERROR(IF(J16="","",INDEX(Tabelle2[[#This Row],[Solution 1]:[Solution 6]],J16)),"")</f>
        <v>Person</v>
      </c>
      <c r="M16" s="59">
        <v>2</v>
      </c>
      <c r="N16" s="60" t="str">
        <f>IFERROR(IF(M16="","",INDEX(Tabelle2[[#This Row],[Solution 1]:[Solution 6]],M16)),"")</f>
        <v xml:space="preserve">Mechanical Bell system</v>
      </c>
      <c r="P16" s="59">
        <v>3</v>
      </c>
      <c r="Q16" s="60" t="str">
        <f>IFERROR(IF(P16="","",INDEX(Tabelle2[[#This Row],[Solution 1]:[Solution 6]],P16)),"")</f>
        <v>Speaker</v>
      </c>
    </row>
    <row r="17" ht="28.5">
      <c r="A17" s="61">
        <v>8</v>
      </c>
      <c r="B17" s="56" t="s">
        <v>154</v>
      </c>
      <c r="C17" s="66" t="s">
        <v>155</v>
      </c>
      <c r="D17" s="67"/>
      <c r="E17" s="67"/>
      <c r="F17" s="17"/>
      <c r="G17" s="18"/>
      <c r="H17" s="18"/>
      <c r="J17" s="59">
        <v>1</v>
      </c>
      <c r="K17" s="60" t="str">
        <f>IFERROR(IF(J17="","",INDEX(Tabelle2[[#This Row],[Solution 1]:[Solution 6]],J17)),"")</f>
        <v xml:space="preserve">Coars screening/
Sedimentation</v>
      </c>
      <c r="M17" s="59">
        <v>1</v>
      </c>
      <c r="N17" s="60" t="str">
        <f>IFERROR(IF(M17="","",INDEX(Tabelle2[[#This Row],[Solution 1]:[Solution 6]],M17)),"")</f>
        <v xml:space="preserve">Coars screening/
Sedimentation</v>
      </c>
      <c r="P17" s="59">
        <v>1</v>
      </c>
      <c r="Q17" s="60" t="str">
        <f>IFERROR(IF(P17="","",INDEX(Tabelle2[[#This Row],[Solution 1]:[Solution 6]],P17)),"")</f>
        <v xml:space="preserve">Coars screening/
Sedimentation</v>
      </c>
    </row>
    <row r="18" ht="36" customHeight="1">
      <c r="A18" s="61">
        <v>9</v>
      </c>
      <c r="B18" s="68" t="s">
        <v>156</v>
      </c>
      <c r="C18" s="23" t="s">
        <v>157</v>
      </c>
      <c r="D18" s="69" t="s">
        <v>158</v>
      </c>
      <c r="F18" s="70"/>
      <c r="G18" s="71"/>
      <c r="H18" s="72"/>
      <c r="J18" s="59">
        <v>1</v>
      </c>
      <c r="K18" s="60" t="str">
        <f>IFERROR(IF(J18="","",INDEX(Tabelle2[[#This Row],[Solution 1]:[Solution 6]],J18)),"")</f>
        <v xml:space="preserve">Manual Dumping</v>
      </c>
      <c r="M18" s="59">
        <v>1</v>
      </c>
      <c r="N18" s="60" t="str">
        <f>IFERROR(IF(M18="","",INDEX(Tabelle2[[#This Row],[Solution 1]:[Solution 6]],M18)),"")</f>
        <v xml:space="preserve">Manual Dumping</v>
      </c>
      <c r="P18" s="59">
        <v>2</v>
      </c>
      <c r="Q18" s="60" t="str">
        <f>IFERROR(IF(P18="","",INDEX(Tabelle2[[#This Row],[Solution 1]:[Solution 6]],P18)),"")</f>
        <v xml:space="preserve">Articulated Rear-Tipping Hopper</v>
      </c>
    </row>
    <row r="19" ht="34.25" customHeight="1">
      <c r="A19" s="55">
        <v>10</v>
      </c>
      <c r="B19" s="56"/>
      <c r="C19" s="73"/>
      <c r="D19" s="1"/>
      <c r="E19" s="67"/>
      <c r="G19" s="71"/>
      <c r="H19" s="72"/>
      <c r="J19" s="59"/>
      <c r="K19" s="60" t="str">
        <f>IFERROR(IF(J19="","",INDEX(Tabelle2[[#This Row],[Solution 1]:[Solution 6]],J19)),"")</f>
        <v/>
      </c>
      <c r="M19" s="59"/>
      <c r="N19" s="60" t="str">
        <f>IFERROR(IF(M19="","",INDEX(Tabelle2[[#This Row],[Solution 1]:[Solution 6]],M19)),"")</f>
        <v/>
      </c>
      <c r="P19" s="59"/>
      <c r="Q19" s="60" t="str">
        <f>IFERROR(IF(P19="","",INDEX(Tabelle2[[#This Row],[Solution 1]:[Solution 6]],P19)),"")</f>
        <v/>
      </c>
    </row>
    <row r="20" ht="34.25" customHeight="1">
      <c r="A20" s="61">
        <v>11</v>
      </c>
      <c r="B20" s="62"/>
      <c r="C20" s="74"/>
      <c r="D20" s="74"/>
      <c r="E20" s="75"/>
      <c r="F20" s="70"/>
      <c r="G20" s="71"/>
      <c r="H20" s="72"/>
      <c r="J20" s="59"/>
      <c r="K20" s="60" t="str">
        <f>IFERROR(IF(J20="","",INDEX(Tabelle2[[#This Row],[Solution 1]:[Solution 6]],J20)),"")</f>
        <v/>
      </c>
      <c r="M20" s="59"/>
      <c r="N20" s="60" t="str">
        <f>IFERROR(IF(M20="","",INDEX(Tabelle2[[#This Row],[Solution 1]:[Solution 6]],M20)),"")</f>
        <v/>
      </c>
      <c r="P20" s="59"/>
      <c r="Q20" s="60" t="str">
        <f>IFERROR(IF(P20="","",INDEX(Tabelle2[[#This Row],[Solution 1]:[Solution 6]],P20)),"")</f>
        <v/>
      </c>
    </row>
    <row r="21" ht="34.25" customHeight="1">
      <c r="A21" s="61">
        <v>12</v>
      </c>
      <c r="B21" s="63"/>
      <c r="C21" s="71"/>
      <c r="D21" s="71"/>
      <c r="E21" s="71"/>
      <c r="F21" s="71"/>
      <c r="G21" s="71"/>
      <c r="H21" s="72"/>
      <c r="J21" s="59"/>
      <c r="K21" s="60" t="str">
        <f>IFERROR(IF(J21="","",INDEX(Tabelle2[[#This Row],[Solution 1]:[Solution 6]],J21)),"")</f>
        <v/>
      </c>
      <c r="M21" s="59"/>
      <c r="N21" s="60" t="str">
        <f>IFERROR(IF(M21="","",INDEX(Tabelle2[[#This Row],[Solution 1]:[Solution 6]],M21)),"")</f>
        <v/>
      </c>
      <c r="P21" s="59"/>
      <c r="Q21" s="60" t="str">
        <f>IFERROR(IF(P21="","",INDEX(Tabelle2[[#This Row],[Solution 1]:[Solution 6]],P21)),"")</f>
        <v/>
      </c>
    </row>
    <row r="22" ht="34.25" customHeight="1">
      <c r="A22" s="61">
        <v>13</v>
      </c>
      <c r="B22" s="63"/>
      <c r="C22" s="71"/>
      <c r="D22" s="71"/>
      <c r="E22" s="71"/>
      <c r="F22" s="71"/>
      <c r="G22" s="71"/>
      <c r="H22" s="72"/>
      <c r="J22" s="59"/>
      <c r="K22" s="60" t="str">
        <f>IFERROR(IF(J22="","",INDEX(Tabelle2[[#This Row],[Solution 1]:[Solution 6]],J22)),"")</f>
        <v/>
      </c>
      <c r="M22" s="59"/>
      <c r="N22" s="60" t="str">
        <f>IFERROR(IF(M22="","",INDEX(Tabelle2[[#This Row],[Solution 1]:[Solution 6]],M22)),"")</f>
        <v/>
      </c>
      <c r="P22" s="59"/>
      <c r="Q22" s="60" t="str">
        <f>IFERROR(IF(P22="","",INDEX(Tabelle2[[#This Row],[Solution 1]:[Solution 6]],P22)),"")</f>
        <v/>
      </c>
    </row>
    <row r="23" ht="34.25" customHeight="1">
      <c r="A23" s="61">
        <v>14</v>
      </c>
      <c r="B23" s="63"/>
      <c r="C23" s="71"/>
      <c r="D23" s="71"/>
      <c r="E23" s="71"/>
      <c r="F23" s="71"/>
      <c r="G23" s="71"/>
      <c r="H23" s="72"/>
      <c r="J23" s="59"/>
      <c r="K23" s="60" t="str">
        <f>IFERROR(IF(J23="","",INDEX(Tabelle2[[#This Row],[Solution 1]:[Solution 6]],J23)),"")</f>
        <v/>
      </c>
      <c r="M23" s="59"/>
      <c r="N23" s="60" t="str">
        <f>IFERROR(IF(M23="","",INDEX(Tabelle2[[#This Row],[Solution 1]:[Solution 6]],M23)),"")</f>
        <v/>
      </c>
      <c r="P23" s="59"/>
      <c r="Q23" s="60" t="str">
        <f>IFERROR(IF(P23="","",INDEX(Tabelle2[[#This Row],[Solution 1]:[Solution 6]],P23)),"")</f>
        <v/>
      </c>
    </row>
    <row r="24" ht="34.25" customHeight="1">
      <c r="A24" s="61">
        <v>15</v>
      </c>
      <c r="B24" s="63"/>
      <c r="C24" s="71"/>
      <c r="D24" s="71"/>
      <c r="E24" s="71"/>
      <c r="F24" s="71"/>
      <c r="G24" s="71"/>
      <c r="H24" s="72"/>
      <c r="J24" s="59"/>
      <c r="K24" s="60" t="str">
        <f>IFERROR(IF(J24="","",INDEX(Tabelle2[[#This Row],[Solution 1]:[Solution 6]],J24)),"")</f>
        <v/>
      </c>
      <c r="M24" s="59"/>
      <c r="N24" s="60" t="str">
        <f>IFERROR(IF(M24="","",INDEX(Tabelle2[[#This Row],[Solution 1]:[Solution 6]],M24)),"")</f>
        <v/>
      </c>
      <c r="P24" s="59"/>
      <c r="Q24" s="60" t="str">
        <f>IFERROR(IF(P24="","",INDEX(Tabelle2[[#This Row],[Solution 1]:[Solution 6]],P24)),"")</f>
        <v/>
      </c>
    </row>
    <row r="25" ht="34.25" customHeight="1">
      <c r="A25" s="61">
        <v>16</v>
      </c>
      <c r="B25" s="63"/>
      <c r="C25" s="71"/>
      <c r="D25" s="71"/>
      <c r="E25" s="71"/>
      <c r="F25" s="71"/>
      <c r="G25" s="71"/>
      <c r="H25" s="72"/>
      <c r="J25" s="59"/>
      <c r="K25" s="60" t="str">
        <f>IFERROR(IF(J25="","",INDEX(Tabelle2[[#This Row],[Solution 1]:[Solution 6]],J25)),"")</f>
        <v/>
      </c>
      <c r="M25" s="59"/>
      <c r="N25" s="60" t="str">
        <f>IFERROR(IF(M25="","",INDEX(Tabelle2[[#This Row],[Solution 1]:[Solution 6]],M25)),"")</f>
        <v/>
      </c>
      <c r="P25" s="59"/>
      <c r="Q25" s="60" t="str">
        <f>IFERROR(IF(P25="","",INDEX(Tabelle2[[#This Row],[Solution 1]:[Solution 6]],P25)),"")</f>
        <v/>
      </c>
    </row>
    <row r="26" ht="34.25" customHeight="1">
      <c r="A26" s="61">
        <v>17</v>
      </c>
      <c r="B26" s="63"/>
      <c r="C26" s="71"/>
      <c r="D26" s="71"/>
      <c r="E26" s="71"/>
      <c r="F26" s="71"/>
      <c r="G26" s="71"/>
      <c r="H26" s="72"/>
      <c r="J26" s="59"/>
      <c r="K26" s="60" t="str">
        <f>IFERROR(IF(J26="","",INDEX(Tabelle2[[#This Row],[Solution 1]:[Solution 6]],J26)),"")</f>
        <v/>
      </c>
      <c r="M26" s="59"/>
      <c r="N26" s="60" t="str">
        <f>IFERROR(IF(M26="","",INDEX(Tabelle2[[#This Row],[Solution 1]:[Solution 6]],M26)),"")</f>
        <v/>
      </c>
      <c r="P26" s="59"/>
      <c r="Q26" s="60" t="str">
        <f>IFERROR(IF(P26="","",INDEX(Tabelle2[[#This Row],[Solution 1]:[Solution 6]],P26)),"")</f>
        <v/>
      </c>
    </row>
    <row r="27" ht="34.25" customHeight="1">
      <c r="A27" s="61">
        <v>18</v>
      </c>
      <c r="B27" s="63"/>
      <c r="C27" s="71"/>
      <c r="D27" s="71"/>
      <c r="E27" s="71"/>
      <c r="F27" s="71"/>
      <c r="G27" s="71"/>
      <c r="H27" s="72"/>
      <c r="J27" s="59"/>
      <c r="K27" s="60" t="str">
        <f>IFERROR(IF(J27="","",INDEX(Tabelle2[[#This Row],[Solution 1]:[Solution 6]],J27)),"")</f>
        <v/>
      </c>
      <c r="M27" s="59"/>
      <c r="N27" s="60" t="str">
        <f>IFERROR(IF(M27="","",INDEX(Tabelle2[[#This Row],[Solution 1]:[Solution 6]],M27)),"")</f>
        <v/>
      </c>
      <c r="P27" s="59"/>
      <c r="Q27" s="60" t="str">
        <f>IFERROR(IF(P27="","",INDEX(Tabelle2[[#This Row],[Solution 1]:[Solution 6]],P27)),"")</f>
        <v/>
      </c>
    </row>
    <row r="28" ht="34.25" customHeight="1">
      <c r="A28" s="61">
        <v>19</v>
      </c>
      <c r="B28" s="63"/>
      <c r="C28" s="71"/>
      <c r="D28" s="71"/>
      <c r="E28" s="71"/>
      <c r="F28" s="71"/>
      <c r="G28" s="71"/>
      <c r="H28" s="72"/>
      <c r="J28" s="59"/>
      <c r="K28" s="60" t="str">
        <f>IFERROR(IF(J28="","",INDEX(Tabelle2[[#This Row],[Solution 1]:[Solution 6]],J28)),"")</f>
        <v/>
      </c>
      <c r="M28" s="59"/>
      <c r="N28" s="60" t="str">
        <f>IFERROR(IF(M28="","",INDEX(Tabelle2[[#This Row],[Solution 1]:[Solution 6]],M28)),"")</f>
        <v/>
      </c>
      <c r="P28" s="59"/>
      <c r="Q28" s="60" t="str">
        <f>IFERROR(IF(P28="","",INDEX(Tabelle2[[#This Row],[Solution 1]:[Solution 6]],P28)),"")</f>
        <v/>
      </c>
    </row>
    <row r="29" ht="34.25" customHeight="1">
      <c r="A29" s="76">
        <v>20</v>
      </c>
      <c r="B29" s="64"/>
      <c r="C29" s="77"/>
      <c r="D29" s="77"/>
      <c r="E29" s="77"/>
      <c r="F29" s="77"/>
      <c r="G29" s="77"/>
      <c r="H29" s="78"/>
      <c r="J29" s="59"/>
      <c r="K29" s="60" t="str">
        <f>IFERROR(IF(J29="","",INDEX(Tabelle2[[#This Row],[Solution 1]:[Solution 6]],J29)),"")</f>
        <v/>
      </c>
      <c r="M29" s="59"/>
      <c r="N29" s="60" t="str">
        <f>IFERROR(IF(M29="","",INDEX(Tabelle2[[#This Row],[Solution 1]:[Solution 6]],M29)),"")</f>
        <v/>
      </c>
      <c r="P29" s="59"/>
      <c r="Q29" s="60" t="str">
        <f>IFERROR(IF(P29="","",INDEX(Tabelle2[[#This Row],[Solution 1]:[Solution 6]],P29)),"")</f>
        <v/>
      </c>
    </row>
  </sheetData>
  <mergeCells count="9">
    <mergeCell ref="A1:Q1"/>
    <mergeCell ref="A2:Q2"/>
    <mergeCell ref="C3:D3"/>
    <mergeCell ref="C4:D4"/>
    <mergeCell ref="C5:D5"/>
    <mergeCell ref="C6:D6"/>
    <mergeCell ref="J7:K7"/>
    <mergeCell ref="M7:N7"/>
    <mergeCell ref="P7:Q7"/>
  </mergeCells>
  <dataValidations count="2" disablePrompts="0">
    <dataValidation sqref="J10:J29 M19:M29 P10:P18 P19:P29" type="list" allowBlank="1" errorStyle="stop" imeMode="noControl" operator="between" showDropDown="0" showErrorMessage="1" showInputMessage="1">
      <formula1>Lists!$F$2:$F$7</formula1>
    </dataValidation>
    <dataValidation sqref="M10:M18" type="list" allowBlank="1" errorStyle="stop" imeMode="noControl" operator="between" showDropDown="0" showErrorMessage="1" showInputMessage="1">
      <formula1>Lists!$F$2:$F$7</formula1>
    </dataValidation>
  </dataValidations>
  <printOptions headings="0" gridLines="0"/>
  <pageMargins left="0.69999999999999996" right="0.69999999999999996" top="0.78740157500000008" bottom="0.78740157500000008" header="0.29999999999999999" footer="0.29999999999999999"/>
  <pageSetup paperSize="8" scale="76" fitToWidth="1" fitToHeight="1" pageOrder="downThenOver" orientation="landscape" usePrinterDefaults="1" blackAndWhite="0" draft="0" cellComments="none" useFirstPageNumber="0" errors="displayed" horizontalDpi="1200" verticalDpi="12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25" zoomScale="100" workbookViewId="0">
      <selection activeCell="A2" activeCellId="0" sqref="A2:O2"/>
    </sheetView>
  </sheetViews>
  <sheetFormatPr defaultColWidth="8.90625" defaultRowHeight="14.25"/>
  <cols>
    <col customWidth="1" min="1" max="1" style="1" width="6"/>
    <col customWidth="1" min="2" max="2" style="1" width="45.140625"/>
    <col customWidth="1" min="3" max="3" style="1" width="24"/>
    <col customWidth="1" min="4" max="4" style="1" width="8"/>
    <col customWidth="1" min="5" max="5" style="1" width="16.1796875"/>
    <col customWidth="1" min="6" max="6" style="1" width="10"/>
    <col customWidth="1" min="7" max="7" style="1" width="19.421875"/>
    <col customWidth="1" min="8" max="9" style="1" width="15.453125"/>
    <col customWidth="1" min="10" max="10" style="1" width="20.57421875"/>
    <col customWidth="1" min="11" max="15" style="1" width="15.453125"/>
    <col min="16" max="16384" style="1" width="8.90625"/>
  </cols>
  <sheetData>
    <row r="1" ht="29.399999999999999" customHeight="1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9.399999999999999" customHeight="1">
      <c r="A2" s="3" t="s">
        <v>159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>
      <c r="A3" s="6"/>
      <c r="B3" s="7" t="s">
        <v>2</v>
      </c>
      <c r="C3" s="37" t="s">
        <v>3</v>
      </c>
      <c r="L3" s="79" t="s">
        <v>160</v>
      </c>
    </row>
    <row r="4">
      <c r="A4" s="9"/>
      <c r="B4" s="1" t="s">
        <v>4</v>
      </c>
      <c r="C4" s="40">
        <v>9</v>
      </c>
    </row>
    <row r="5">
      <c r="A5" s="9"/>
      <c r="B5" s="1" t="s">
        <v>5</v>
      </c>
      <c r="C5" s="40">
        <v>1</v>
      </c>
    </row>
    <row r="6">
      <c r="A6" s="11"/>
      <c r="B6" s="12" t="s">
        <v>6</v>
      </c>
      <c r="C6" s="42">
        <v>46227</v>
      </c>
    </row>
    <row r="7">
      <c r="C7" s="80"/>
    </row>
    <row r="8" ht="22.75" customHeight="1">
      <c r="A8" s="81" t="s">
        <v>161</v>
      </c>
      <c r="B8" s="82"/>
      <c r="C8" s="82"/>
      <c r="D8" s="82"/>
      <c r="E8" s="82"/>
      <c r="F8" s="83"/>
      <c r="G8" s="84" t="s">
        <v>105</v>
      </c>
      <c r="H8" s="85"/>
      <c r="I8" s="86"/>
      <c r="J8" s="84" t="s">
        <v>106</v>
      </c>
      <c r="K8" s="85"/>
      <c r="L8" s="86"/>
      <c r="M8" s="84" t="s">
        <v>107</v>
      </c>
      <c r="N8" s="85"/>
      <c r="O8" s="86"/>
    </row>
    <row r="9" ht="28.5">
      <c r="A9" s="87" t="s">
        <v>7</v>
      </c>
      <c r="B9" s="88" t="s">
        <v>8</v>
      </c>
      <c r="C9" s="88" t="s">
        <v>10</v>
      </c>
      <c r="D9" s="88" t="s">
        <v>11</v>
      </c>
      <c r="E9" s="88" t="s">
        <v>12</v>
      </c>
      <c r="F9" s="89" t="s">
        <v>13</v>
      </c>
      <c r="G9" s="90" t="s">
        <v>162</v>
      </c>
      <c r="H9" s="91" t="s">
        <v>163</v>
      </c>
      <c r="I9" s="92" t="s">
        <v>164</v>
      </c>
      <c r="J9" s="15" t="s">
        <v>165</v>
      </c>
      <c r="K9" s="15" t="s">
        <v>166</v>
      </c>
      <c r="L9" s="15" t="s">
        <v>167</v>
      </c>
      <c r="M9" s="15" t="s">
        <v>168</v>
      </c>
      <c r="N9" s="15" t="s">
        <v>169</v>
      </c>
      <c r="O9" s="15" t="s">
        <v>170</v>
      </c>
    </row>
    <row r="10" ht="26.399999999999999" customHeight="1">
      <c r="A10" s="93">
        <v>1</v>
      </c>
      <c r="B10" s="18" t="str">
        <f>IF(Tabelle1[[#This Row],[Requirement]]&lt;&gt;"",Tabelle1[[#This Row],[Requirement]],"")</f>
        <v xml:space="preserve">Water depth operation</v>
      </c>
      <c r="C10" s="18" t="str">
        <f>IF(Tabelle1[[#This Row],[Target / Criterion]]&lt;&gt;"",Tabelle1[[#This Row],[Target / Criterion]],"")</f>
        <v xml:space="preserve">0 - 1</v>
      </c>
      <c r="D10" s="18" t="str">
        <f>IF(Tabelle1[[#This Row],[Unit]]&lt;&gt;"",Tabelle1[[#This Row],[Unit]],"")</f>
        <v>m</v>
      </c>
      <c r="E10" s="18" t="str">
        <f>IF(Tabelle1[[#This Row],[Demand / Wish]]&lt;&gt;"",Tabelle1[[#This Row],[Demand / Wish]],"")</f>
        <v>D</v>
      </c>
      <c r="F10" s="20">
        <f>IF(Tabelle1[[#This Row],[Weight]]&lt;&gt;"",Tabelle1[[#This Row],[Weight]],"")</f>
        <v>0.070000000000000007</v>
      </c>
      <c r="G10" s="18" t="s">
        <v>171</v>
      </c>
      <c r="H10" s="18">
        <v>2</v>
      </c>
      <c r="I10" s="20">
        <f>IF(Tabelle14[[#This Row],[Weight]]&lt;&gt;"",Tabelle14[[#This Row],[Weight]]*Tabelle14[[#This Row],[value '[0…10']]],"")</f>
        <v>0.14000000000000001</v>
      </c>
      <c r="J10" s="18" t="s">
        <v>172</v>
      </c>
      <c r="K10" s="18">
        <v>5</v>
      </c>
      <c r="L10" s="94">
        <f>IF(Tabelle14[[#This Row],[Weight]]&lt;&gt;"",Tabelle14[[#This Row],[Weight]]*Tabelle14[[#This Row],[value '[0…10']2]],"")</f>
        <v>0.35000000000000003</v>
      </c>
      <c r="M10" s="18" t="s">
        <v>172</v>
      </c>
      <c r="N10" s="18">
        <v>5</v>
      </c>
      <c r="O10" s="94">
        <f>IF(Tabelle14[[#This Row],[Weight]]&lt;&gt;"",Tabelle14[[#This Row],[Weight]]*Tabelle14[[#This Row],[value '[0…10']3]],"")</f>
        <v>0.35000000000000003</v>
      </c>
    </row>
    <row r="11" ht="26.399999999999999" customHeight="1">
      <c r="A11" s="93">
        <v>2</v>
      </c>
      <c r="B11" s="18" t="str">
        <f>IF(Tabelle1[[#This Row],[Requirement]]&lt;&gt;"",Tabelle1[[#This Row],[Requirement]],"")</f>
        <v xml:space="preserve">Operating speed</v>
      </c>
      <c r="C11" s="18" t="str">
        <f>IF(Tabelle1[[#This Row],[Target / Criterion]]&lt;&gt;"",Tabelle1[[#This Row],[Target / Criterion]],"")</f>
        <v xml:space="preserve"> ~1</v>
      </c>
      <c r="D11" s="18" t="str">
        <f>IF(Tabelle1[[#This Row],[Unit]]&lt;&gt;"",Tabelle1[[#This Row],[Unit]],"")</f>
        <v>Km/h</v>
      </c>
      <c r="E11" s="18" t="str">
        <f>IF(Tabelle1[[#This Row],[Demand / Wish]]&lt;&gt;"",Tabelle1[[#This Row],[Demand / Wish]],"")</f>
        <v>D</v>
      </c>
      <c r="F11" s="20">
        <f>IF(Tabelle1[[#This Row],[Weight]]&lt;&gt;"",Tabelle1[[#This Row],[Weight]],"")</f>
        <v>0.050000000000000003</v>
      </c>
      <c r="G11" s="18" t="s">
        <v>173</v>
      </c>
      <c r="H11" s="18">
        <v>9</v>
      </c>
      <c r="I11" s="20">
        <f>IF(Tabelle14[[#This Row],[Weight]]&lt;&gt;"",Tabelle14[[#This Row],[Weight]]*Tabelle14[[#This Row],[value '[0…10']]],"")</f>
        <v>0.45000000000000001</v>
      </c>
      <c r="J11" s="18" t="s">
        <v>174</v>
      </c>
      <c r="K11" s="18">
        <v>8</v>
      </c>
      <c r="L11" s="18">
        <f>IF(Tabelle14[[#This Row],[Weight]]&lt;&gt;"",Tabelle14[[#This Row],[Weight]]*Tabelle14[[#This Row],[value '[0…10']2]],"")</f>
        <v>0.40000000000000002</v>
      </c>
      <c r="M11" s="18" t="s">
        <v>174</v>
      </c>
      <c r="N11" s="18">
        <v>8</v>
      </c>
      <c r="O11" s="94">
        <f>IF(Tabelle14[[#This Row],[Weight]]&lt;&gt;"",Tabelle14[[#This Row],[Weight]]*Tabelle14[[#This Row],[value '[0…10']3]],"")</f>
        <v>0.40000000000000002</v>
      </c>
    </row>
    <row r="12" ht="26.399999999999999" customHeight="1">
      <c r="A12" s="93">
        <v>3</v>
      </c>
      <c r="B12" s="18" t="str">
        <f>IF(Tabelle1[[#This Row],[Requirement]]&lt;&gt;"",Tabelle1[[#This Row],[Requirement]],"")</f>
        <v xml:space="preserve">Noise emission</v>
      </c>
      <c r="C12" s="18" t="str">
        <f>IF(Tabelle1[[#This Row],[Target / Criterion]]&lt;&gt;"",Tabelle1[[#This Row],[Target / Criterion]],"")</f>
        <v xml:space="preserve"> ~60</v>
      </c>
      <c r="D12" s="18" t="str">
        <f>IF(Tabelle1[[#This Row],[Unit]]&lt;&gt;"",Tabelle1[[#This Row],[Unit]],"")</f>
        <v>dB</v>
      </c>
      <c r="E12" s="18" t="str">
        <f>IF(Tabelle1[[#This Row],[Demand / Wish]]&lt;&gt;"",Tabelle1[[#This Row],[Demand / Wish]],"")</f>
        <v>W</v>
      </c>
      <c r="F12" s="20">
        <f>IF(Tabelle1[[#This Row],[Weight]]&lt;&gt;"",Tabelle1[[#This Row],[Weight]],"")</f>
        <v>0.029999999999999999</v>
      </c>
      <c r="G12" s="18" t="s">
        <v>175</v>
      </c>
      <c r="H12" s="18">
        <v>10</v>
      </c>
      <c r="I12" s="20">
        <f>IF(Tabelle14[[#This Row],[Weight]]&lt;&gt;"",Tabelle14[[#This Row],[Weight]]*Tabelle14[[#This Row],[value '[0…10']]],"")</f>
        <v>0.29999999999999999</v>
      </c>
      <c r="J12" s="18" t="s">
        <v>176</v>
      </c>
      <c r="K12" s="18">
        <v>5</v>
      </c>
      <c r="L12" s="18">
        <f>IF(Tabelle14[[#This Row],[Weight]]&lt;&gt;"",Tabelle14[[#This Row],[Weight]]*Tabelle14[[#This Row],[value '[0…10']2]],"")</f>
        <v>0.14999999999999999</v>
      </c>
      <c r="M12" s="18" t="s">
        <v>177</v>
      </c>
      <c r="N12" s="18">
        <v>4</v>
      </c>
      <c r="O12" s="94">
        <f>IF(Tabelle14[[#This Row],[Weight]]&lt;&gt;"",Tabelle14[[#This Row],[Weight]]*Tabelle14[[#This Row],[value '[0…10']3]],"")</f>
        <v>0.12</v>
      </c>
    </row>
    <row r="13" ht="26.399999999999999" customHeight="1">
      <c r="A13" s="93">
        <v>4</v>
      </c>
      <c r="B13" s="18" t="str">
        <f>IF(Tabelle1[[#This Row],[Requirement]]&lt;&gt;"",Tabelle1[[#This Row],[Requirement]],"")</f>
        <v xml:space="preserve">  Energy consumption</v>
      </c>
      <c r="C13" s="18" t="str">
        <f>IF(Tabelle1[[#This Row],[Target / Criterion]]&lt;&gt;"",Tabelle1[[#This Row],[Target / Criterion]],"")</f>
        <v>&lt;500</v>
      </c>
      <c r="D13" s="18" t="str">
        <f>IF(Tabelle1[[#This Row],[Unit]]&lt;&gt;"",Tabelle1[[#This Row],[Unit]],"")</f>
        <v>W</v>
      </c>
      <c r="E13" s="18" t="str">
        <f>IF(Tabelle1[[#This Row],[Demand / Wish]]&lt;&gt;"",Tabelle1[[#This Row],[Demand / Wish]],"")</f>
        <v>D</v>
      </c>
      <c r="F13" s="20">
        <f>IF(Tabelle1[[#This Row],[Weight]]&lt;&gt;"",Tabelle1[[#This Row],[Weight]],"")</f>
        <v>0.059999999999999998</v>
      </c>
      <c r="G13" s="22" t="s">
        <v>178</v>
      </c>
      <c r="H13" s="18">
        <v>9</v>
      </c>
      <c r="I13" s="94">
        <f>IF(Tabelle14[[#This Row],[Weight]]&lt;&gt;"",Tabelle14[[#This Row],[Weight]]*Tabelle14[[#This Row],[value '[0…10']]],"")</f>
        <v>0.54000000000000004</v>
      </c>
      <c r="J13" s="93" t="s">
        <v>179</v>
      </c>
      <c r="K13" s="18">
        <v>8</v>
      </c>
      <c r="L13" s="20">
        <f>IF(Tabelle14[[#This Row],[Weight]]&lt;&gt;"",Tabelle14[[#This Row],[Weight]]*Tabelle14[[#This Row],[value '[0…10']2]],"")</f>
        <v>0.47999999999999998</v>
      </c>
      <c r="M13" s="93" t="s">
        <v>180</v>
      </c>
      <c r="N13" s="18">
        <v>6</v>
      </c>
      <c r="O13" s="94">
        <f>IF(Tabelle14[[#This Row],[Weight]]&lt;&gt;"",Tabelle14[[#This Row],[Weight]]*Tabelle14[[#This Row],[value '[0…10']3]],"")</f>
        <v>0.35999999999999999</v>
      </c>
    </row>
    <row r="14" ht="26.399999999999999" customHeight="1">
      <c r="A14" s="93">
        <v>5</v>
      </c>
      <c r="B14" s="18" t="str">
        <f>IF(Tabelle1[[#This Row],[Requirement]]&lt;&gt;"",Tabelle1[[#This Row],[Requirement]],"")</f>
        <v xml:space="preserve">Operating Duration</v>
      </c>
      <c r="C14" s="18" t="str">
        <f>IF(Tabelle1[[#This Row],[Target / Criterion]]&lt;&gt;"",Tabelle1[[#This Row],[Target / Criterion]],"")</f>
        <v>4-&gt;6</v>
      </c>
      <c r="D14" s="18" t="str">
        <f>IF(Tabelle1[[#This Row],[Unit]]&lt;&gt;"",Tabelle1[[#This Row],[Unit]],"")</f>
        <v>h</v>
      </c>
      <c r="E14" s="18" t="str">
        <f>IF(Tabelle1[[#This Row],[Demand / Wish]]&lt;&gt;"",Tabelle1[[#This Row],[Demand / Wish]],"")</f>
        <v>D</v>
      </c>
      <c r="F14" s="20">
        <f>IF(Tabelle1[[#This Row],[Weight]]&lt;&gt;"",Tabelle1[[#This Row],[Weight]],"")</f>
        <v>0.040000000000000001</v>
      </c>
      <c r="G14" s="23" t="s">
        <v>181</v>
      </c>
      <c r="H14" s="17">
        <v>7</v>
      </c>
      <c r="I14" s="94">
        <f>IF(Tabelle14[[#This Row],[Weight]]&lt;&gt;"",Tabelle14[[#This Row],[Weight]]*Tabelle14[[#This Row],[value '[0…10']]],"")</f>
        <v>0.28000000000000003</v>
      </c>
      <c r="J14" s="93" t="s">
        <v>182</v>
      </c>
      <c r="K14" s="18">
        <v>8</v>
      </c>
      <c r="L14" s="20">
        <f>IF(Tabelle14[[#This Row],[Weight]]&lt;&gt;"",Tabelle14[[#This Row],[Weight]]*Tabelle14[[#This Row],[value '[0…10']2]],"")</f>
        <v>0.32000000000000001</v>
      </c>
      <c r="M14" s="93" t="s">
        <v>182</v>
      </c>
      <c r="N14" s="18">
        <v>8</v>
      </c>
      <c r="O14" s="94">
        <f>IF(Tabelle14[[#This Row],[Weight]]&lt;&gt;"",Tabelle14[[#This Row],[Weight]]*Tabelle14[[#This Row],[value '[0…10']3]],"")</f>
        <v>0.32000000000000001</v>
      </c>
    </row>
    <row r="15" ht="26.399999999999999" customHeight="1">
      <c r="A15" s="93">
        <v>6</v>
      </c>
      <c r="B15" s="18" t="str">
        <f>IF(Tabelle1[[#This Row],[Requirement]]&lt;&gt;"",Tabelle1[[#This Row],[Requirement]],"")</f>
        <v xml:space="preserve">Algae storage capacity</v>
      </c>
      <c r="C15" s="18" t="str">
        <f>IF(Tabelle1[[#This Row],[Target / Criterion]]&lt;&gt;"",Tabelle1[[#This Row],[Target / Criterion]],"")</f>
        <v xml:space="preserve">200 -&gt; 250</v>
      </c>
      <c r="D15" s="18" t="str">
        <f>IF(Tabelle1[[#This Row],[Unit]]&lt;&gt;"",Tabelle1[[#This Row],[Unit]],"")</f>
        <v>Kg</v>
      </c>
      <c r="E15" s="18" t="str">
        <f>IF(Tabelle1[[#This Row],[Demand / Wish]]&lt;&gt;"",Tabelle1[[#This Row],[Demand / Wish]],"")</f>
        <v>D</v>
      </c>
      <c r="F15" s="20">
        <f>IF(Tabelle1[[#This Row],[Weight]]&lt;&gt;"",Tabelle1[[#This Row],[Weight]],"")</f>
        <v>0.050000000000000003</v>
      </c>
      <c r="G15" s="95" t="s">
        <v>183</v>
      </c>
      <c r="H15" s="18">
        <v>2</v>
      </c>
      <c r="I15" s="94">
        <f>IF(Tabelle14[[#This Row],[Weight]]&lt;&gt;"",Tabelle14[[#This Row],[Weight]]*Tabelle14[[#This Row],[value '[0…10']]],"")</f>
        <v>0.10000000000000001</v>
      </c>
      <c r="J15" s="93" t="s">
        <v>184</v>
      </c>
      <c r="K15" s="18">
        <v>7</v>
      </c>
      <c r="L15" s="20">
        <f>IF(Tabelle14[[#This Row],[Weight]]&lt;&gt;"",Tabelle14[[#This Row],[Weight]]*Tabelle14[[#This Row],[value '[0…10']2]],"")</f>
        <v>0.35000000000000003</v>
      </c>
      <c r="M15" s="93" t="s">
        <v>184</v>
      </c>
      <c r="N15" s="18">
        <v>5</v>
      </c>
      <c r="O15" s="94">
        <f>IF(Tabelle14[[#This Row],[Weight]]&lt;&gt;"",Tabelle14[[#This Row],[Weight]]*Tabelle14[[#This Row],[value '[0…10']3]],"")</f>
        <v>0.25</v>
      </c>
    </row>
    <row r="16" ht="26.399999999999999" customHeight="1">
      <c r="A16" s="93">
        <v>7</v>
      </c>
      <c r="B16" s="18" t="str">
        <f>IF(Tabelle1[[#This Row],[Requirement]]&lt;&gt;"",Tabelle1[[#This Row],[Requirement]],"")</f>
        <v xml:space="preserve">Machine weight</v>
      </c>
      <c r="C16" s="18" t="str">
        <f>IF(Tabelle1[[#This Row],[Target / Criterion]]&lt;&gt;"",Tabelle1[[#This Row],[Target / Criterion]],"")</f>
        <v>&lt;500</v>
      </c>
      <c r="D16" s="18" t="str">
        <f>IF(Tabelle1[[#This Row],[Unit]]&lt;&gt;"",Tabelle1[[#This Row],[Unit]],"")</f>
        <v>Kg</v>
      </c>
      <c r="E16" s="18" t="str">
        <f>IF(Tabelle1[[#This Row],[Demand / Wish]]&lt;&gt;"",Tabelle1[[#This Row],[Demand / Wish]],"")</f>
        <v>W</v>
      </c>
      <c r="F16" s="20">
        <f>IF(Tabelle1[[#This Row],[Weight]]&lt;&gt;"",Tabelle1[[#This Row],[Weight]],"")</f>
        <v>0.070000000000000007</v>
      </c>
      <c r="G16" s="18" t="s">
        <v>185</v>
      </c>
      <c r="H16" s="18">
        <v>10</v>
      </c>
      <c r="I16" s="94">
        <f>IF(Tabelle14[[#This Row],[Weight]]&lt;&gt;"",Tabelle14[[#This Row],[Weight]]*Tabelle14[[#This Row],[value '[0…10']]],"")</f>
        <v>0.70000000000000007</v>
      </c>
      <c r="J16" s="93" t="s">
        <v>186</v>
      </c>
      <c r="K16" s="18">
        <v>7</v>
      </c>
      <c r="L16" s="20">
        <f>IF(Tabelle14[[#This Row],[Weight]]&lt;&gt;"",Tabelle14[[#This Row],[Weight]]*Tabelle14[[#This Row],[value '[0…10']2]],"")</f>
        <v>0.49000000000000005</v>
      </c>
      <c r="M16" s="93" t="s">
        <v>187</v>
      </c>
      <c r="N16" s="18">
        <v>7</v>
      </c>
      <c r="O16" s="94">
        <f>IF(Tabelle14[[#This Row],[Weight]]&lt;&gt;"",Tabelle14[[#This Row],[Weight]]*Tabelle14[[#This Row],[value '[0…10']3]],"")</f>
        <v>0.49000000000000005</v>
      </c>
    </row>
    <row r="17" ht="26.399999999999999" customHeight="1">
      <c r="A17" s="93">
        <v>8</v>
      </c>
      <c r="B17" s="18" t="str">
        <f>IF(Tabelle1[[#This Row],[Requirement]]&lt;&gt;"",Tabelle1[[#This Row],[Requirement]],"")</f>
        <v xml:space="preserve">Regular Maintenance (Cleaning)</v>
      </c>
      <c r="C17" s="18">
        <f>IF(Tabelle1[[#This Row],[Target / Criterion]]&lt;&gt;"",Tabelle1[[#This Row],[Target / Criterion]],"")</f>
        <v>100</v>
      </c>
      <c r="D17" s="18" t="str">
        <f>IF(Tabelle1[[#This Row],[Unit]]&lt;&gt;"",Tabelle1[[#This Row],[Unit]],"")</f>
        <v>Euros</v>
      </c>
      <c r="E17" s="18" t="str">
        <f>IF(Tabelle1[[#This Row],[Demand / Wish]]&lt;&gt;"",Tabelle1[[#This Row],[Demand / Wish]],"")</f>
        <v>D</v>
      </c>
      <c r="F17" s="20">
        <f>IF(Tabelle1[[#This Row],[Weight]]&lt;&gt;"",Tabelle1[[#This Row],[Weight]],"")</f>
        <v>0.040000000000000001</v>
      </c>
      <c r="G17" s="18" t="s">
        <v>188</v>
      </c>
      <c r="H17" s="18">
        <v>10</v>
      </c>
      <c r="I17" s="94">
        <f>IF(Tabelle14[[#This Row],[Weight]]&lt;&gt;"",Tabelle14[[#This Row],[Weight]]*Tabelle14[[#This Row],[value '[0…10']]],"")</f>
        <v>0.40000000000000002</v>
      </c>
      <c r="J17" s="93" t="s">
        <v>189</v>
      </c>
      <c r="K17" s="18">
        <v>10</v>
      </c>
      <c r="L17" s="20">
        <f>IF(Tabelle14[[#This Row],[Weight]]&lt;&gt;"",Tabelle14[[#This Row],[Weight]]*Tabelle14[[#This Row],[value '[0…10']2]],"")</f>
        <v>0.40000000000000002</v>
      </c>
      <c r="M17" s="93" t="s">
        <v>190</v>
      </c>
      <c r="N17" s="18">
        <v>8</v>
      </c>
      <c r="O17" s="94">
        <f>IF(Tabelle14[[#This Row],[Weight]]&lt;&gt;"",Tabelle14[[#This Row],[Weight]]*Tabelle14[[#This Row],[value '[0…10']3]],"")</f>
        <v>0.32000000000000001</v>
      </c>
    </row>
    <row r="18" ht="26.399999999999999" customHeight="1">
      <c r="A18" s="93">
        <v>9</v>
      </c>
      <c r="B18" s="18" t="str">
        <f>IF(Tabelle1[[#This Row],[Requirement]]&lt;&gt;"",Tabelle1[[#This Row],[Requirement]],"")</f>
        <v xml:space="preserve">Harmful emissions</v>
      </c>
      <c r="C18" s="18" t="str">
        <f>IF(Tabelle1[[#This Row],[Target / Criterion]]&lt;&gt;"",Tabelle1[[#This Row],[Target / Criterion]],"")</f>
        <v>None</v>
      </c>
      <c r="D18" s="18" t="str">
        <f>IF(Tabelle1[[#This Row],[Unit]]&lt;&gt;"",Tabelle1[[#This Row],[Unit]],"")</f>
        <v>None</v>
      </c>
      <c r="E18" s="18" t="str">
        <f>IF(Tabelle1[[#This Row],[Demand / Wish]]&lt;&gt;"",Tabelle1[[#This Row],[Demand / Wish]],"")</f>
        <v>D</v>
      </c>
      <c r="F18" s="20">
        <f>IF(Tabelle1[[#This Row],[Weight]]&lt;&gt;"",Tabelle1[[#This Row],[Weight]],"")</f>
        <v>0.050000000000000003</v>
      </c>
      <c r="G18" s="18" t="s">
        <v>191</v>
      </c>
      <c r="H18" s="18">
        <v>10</v>
      </c>
      <c r="I18" s="94">
        <f>IF(Tabelle14[[#This Row],[Weight]]&lt;&gt;"",Tabelle14[[#This Row],[Weight]]*Tabelle14[[#This Row],[value '[0…10']]],"")</f>
        <v>0.5</v>
      </c>
      <c r="J18" s="93" t="s">
        <v>57</v>
      </c>
      <c r="K18" s="18">
        <v>10</v>
      </c>
      <c r="L18" s="20">
        <f>IF(Tabelle14[[#This Row],[Weight]]&lt;&gt;"",Tabelle14[[#This Row],[Weight]]*Tabelle14[[#This Row],[value '[0…10']2]],"")</f>
        <v>0.5</v>
      </c>
      <c r="M18" s="93" t="s">
        <v>57</v>
      </c>
      <c r="N18" s="18">
        <v>10</v>
      </c>
      <c r="O18" s="94">
        <f>IF(Tabelle14[[#This Row],[Weight]]&lt;&gt;"",Tabelle14[[#This Row],[Weight]]*Tabelle14[[#This Row],[value '[0…10']3]],"")</f>
        <v>0.5</v>
      </c>
    </row>
    <row r="19" ht="42.75">
      <c r="A19" s="93">
        <v>10</v>
      </c>
      <c r="B19" s="18" t="str">
        <f>IF(Tabelle1[[#This Row],[Requirement]]&lt;&gt;"",Tabelle1[[#This Row],[Requirement]],"")</f>
        <v xml:space="preserve">Corrosion Resistance </v>
      </c>
      <c r="C19" s="18" t="str">
        <f>IF(Tabelle1[[#This Row],[Target / Criterion]]&lt;&gt;"",Tabelle1[[#This Row],[Target / Criterion]],"")</f>
        <v xml:space="preserve">Visual Inspection</v>
      </c>
      <c r="D19" s="18" t="str">
        <f>IF(Tabelle1[[#This Row],[Unit]]&lt;&gt;"",Tabelle1[[#This Row],[Unit]],"")</f>
        <v>None</v>
      </c>
      <c r="E19" s="18" t="str">
        <f>IF(Tabelle1[[#This Row],[Demand / Wish]]&lt;&gt;"",Tabelle1[[#This Row],[Demand / Wish]],"")</f>
        <v>W</v>
      </c>
      <c r="F19" s="20">
        <f>IF(Tabelle1[[#This Row],[Weight]]&lt;&gt;"",Tabelle1[[#This Row],[Weight]],"")</f>
        <v>0.029999999999999999</v>
      </c>
      <c r="G19" s="18" t="s">
        <v>192</v>
      </c>
      <c r="H19" s="18">
        <v>9</v>
      </c>
      <c r="I19" s="94">
        <f>IF(Tabelle14[[#This Row],[Weight]]&lt;&gt;"",Tabelle14[[#This Row],[Weight]]*Tabelle14[[#This Row],[value '[0…10']]],"")</f>
        <v>0.27000000000000002</v>
      </c>
      <c r="J19" s="93" t="s">
        <v>193</v>
      </c>
      <c r="K19" s="18">
        <v>7</v>
      </c>
      <c r="L19" s="20">
        <f>IF(Tabelle14[[#This Row],[Weight]]&lt;&gt;"",Tabelle14[[#This Row],[Weight]]*Tabelle14[[#This Row],[value '[0…10']2]],"")</f>
        <v>0.20999999999999999</v>
      </c>
      <c r="M19" s="93" t="s">
        <v>193</v>
      </c>
      <c r="N19" s="18">
        <v>6</v>
      </c>
      <c r="O19" s="94">
        <f>IF(Tabelle14[[#This Row],[Weight]]&lt;&gt;"",Tabelle14[[#This Row],[Weight]]*Tabelle14[[#This Row],[value '[0…10']3]],"")</f>
        <v>0.17999999999999999</v>
      </c>
    </row>
    <row r="20" ht="26.399999999999999" customHeight="1">
      <c r="A20" s="93">
        <v>11</v>
      </c>
      <c r="B20" s="18" t="str">
        <f>IF(Tabelle1[[#This Row],[Requirement]]&lt;&gt;"",Tabelle1[[#This Row],[Requirement]],"")</f>
        <v xml:space="preserve">Compact design (Surface Area)</v>
      </c>
      <c r="C20" s="18" t="str">
        <f>IF(Tabelle1[[#This Row],[Target / Criterion]]&lt;&gt;"",Tabelle1[[#This Row],[Target / Criterion]],"")</f>
        <v>&lt;5</v>
      </c>
      <c r="D20" s="18" t="str">
        <f>IF(Tabelle1[[#This Row],[Unit]]&lt;&gt;"",Tabelle1[[#This Row],[Unit]],"")</f>
        <v>m^2</v>
      </c>
      <c r="E20" s="18" t="str">
        <f>IF(Tabelle1[[#This Row],[Demand / Wish]]&lt;&gt;"",Tabelle1[[#This Row],[Demand / Wish]],"")</f>
        <v>W</v>
      </c>
      <c r="F20" s="20">
        <f>IF(Tabelle1[[#This Row],[Weight]]&lt;&gt;"",Tabelle1[[#This Row],[Weight]],"")</f>
        <v>0.040000000000000001</v>
      </c>
      <c r="G20" s="18" t="s">
        <v>194</v>
      </c>
      <c r="H20" s="18">
        <v>8</v>
      </c>
      <c r="I20" s="94">
        <f>IF(Tabelle14[[#This Row],[Weight]]&lt;&gt;"",Tabelle14[[#This Row],[Weight]]*Tabelle14[[#This Row],[value '[0…10']]],"")</f>
        <v>0.32000000000000001</v>
      </c>
      <c r="J20" s="93" t="s">
        <v>195</v>
      </c>
      <c r="K20" s="18">
        <v>10</v>
      </c>
      <c r="L20" s="20">
        <f>IF(Tabelle14[[#This Row],[Weight]]&lt;&gt;"",Tabelle14[[#This Row],[Weight]]*Tabelle14[[#This Row],[value '[0…10']2]],"")</f>
        <v>0.40000000000000002</v>
      </c>
      <c r="M20" s="93" t="s">
        <v>196</v>
      </c>
      <c r="N20" s="18">
        <v>10</v>
      </c>
      <c r="O20" s="94">
        <f>IF(Tabelle14[[#This Row],[Weight]]&lt;&gt;"",Tabelle14[[#This Row],[Weight]]*Tabelle14[[#This Row],[value '[0…10']3]],"")</f>
        <v>0.40000000000000002</v>
      </c>
    </row>
    <row r="21" ht="42.75">
      <c r="A21" s="93">
        <v>12</v>
      </c>
      <c r="B21" s="18" t="str">
        <f>IF(Tabelle1[[#This Row],[Requirement]]&lt;&gt;"",Tabelle1[[#This Row],[Requirement]],"")</f>
        <v xml:space="preserve">Attractive appearance </v>
      </c>
      <c r="C21" s="18" t="str">
        <f>IF(Tabelle1[[#This Row],[Target / Criterion]]&lt;&gt;"",Tabelle1[[#This Row],[Target / Criterion]],"")</f>
        <v xml:space="preserve">public opinion on design </v>
      </c>
      <c r="D21" s="18" t="str">
        <f>IF(Tabelle1[[#This Row],[Unit]]&lt;&gt;"",Tabelle1[[#This Row],[Unit]],"")</f>
        <v>None</v>
      </c>
      <c r="E21" s="18" t="str">
        <f>IF(Tabelle1[[#This Row],[Demand / Wish]]&lt;&gt;"",Tabelle1[[#This Row],[Demand / Wish]],"")</f>
        <v>W</v>
      </c>
      <c r="F21" s="20">
        <f>IF(Tabelle1[[#This Row],[Weight]]&lt;&gt;"",Tabelle1[[#This Row],[Weight]],"")</f>
        <v>0.029999999999999999</v>
      </c>
      <c r="G21" s="18" t="s">
        <v>197</v>
      </c>
      <c r="H21" s="18">
        <v>7</v>
      </c>
      <c r="I21" s="20">
        <f>IF(Tabelle14[[#This Row],[Weight]]&lt;&gt;"",Tabelle14[[#This Row],[Weight]]*Tabelle14[[#This Row],[value '[0…10']]],"")</f>
        <v>0.20999999999999999</v>
      </c>
      <c r="J21" s="18" t="s">
        <v>198</v>
      </c>
      <c r="K21" s="18">
        <v>8</v>
      </c>
      <c r="L21" s="18">
        <f>IF(Tabelle14[[#This Row],[Weight]]&lt;&gt;"",Tabelle14[[#This Row],[Weight]]*Tabelle14[[#This Row],[value '[0…10']2]],"")</f>
        <v>0.23999999999999999</v>
      </c>
      <c r="M21" s="18" t="s">
        <v>198</v>
      </c>
      <c r="N21" s="18">
        <v>8</v>
      </c>
      <c r="O21" s="94">
        <f>IF(Tabelle14[[#This Row],[Weight]]&lt;&gt;"",Tabelle14[[#This Row],[Weight]]*Tabelle14[[#This Row],[value '[0…10']3]],"")</f>
        <v>0.23999999999999999</v>
      </c>
    </row>
    <row r="22" ht="26.399999999999999" customHeight="1">
      <c r="A22" s="93">
        <v>13</v>
      </c>
      <c r="B22" s="18" t="str">
        <f>IF(Tabelle1[[#This Row],[Requirement]]&lt;&gt;"",Tabelle1[[#This Row],[Requirement]],"")</f>
        <v xml:space="preserve">Durability </v>
      </c>
      <c r="C22" s="18">
        <f>IF(Tabelle1[[#This Row],[Target / Criterion]]&lt;&gt;"",Tabelle1[[#This Row],[Target / Criterion]],"")</f>
        <v>10</v>
      </c>
      <c r="D22" s="18" t="str">
        <f>IF(Tabelle1[[#This Row],[Unit]]&lt;&gt;"",Tabelle1[[#This Row],[Unit]],"")</f>
        <v>years/warranty</v>
      </c>
      <c r="E22" s="18" t="str">
        <f>IF(Tabelle1[[#This Row],[Demand / Wish]]&lt;&gt;"",Tabelle1[[#This Row],[Demand / Wish]],"")</f>
        <v>D</v>
      </c>
      <c r="F22" s="20">
        <f>IF(Tabelle1[[#This Row],[Weight]]&lt;&gt;"",Tabelle1[[#This Row],[Weight]],"")</f>
        <v>0.029999999999999999</v>
      </c>
      <c r="G22" s="18" t="s">
        <v>101</v>
      </c>
      <c r="H22" s="18">
        <v>10</v>
      </c>
      <c r="I22" s="20">
        <f>IF(Tabelle14[[#This Row],[Weight]]&lt;&gt;"",Tabelle14[[#This Row],[Weight]]*Tabelle14[[#This Row],[value '[0…10']]],"")</f>
        <v>0.29999999999999999</v>
      </c>
      <c r="J22" s="18" t="s">
        <v>101</v>
      </c>
      <c r="K22" s="18">
        <v>10</v>
      </c>
      <c r="L22" s="18">
        <f>IF(Tabelle14[[#This Row],[Weight]]&lt;&gt;"",Tabelle14[[#This Row],[Weight]]*Tabelle14[[#This Row],[value '[0…10']2]],"")</f>
        <v>0.29999999999999999</v>
      </c>
      <c r="M22" s="18" t="s">
        <v>101</v>
      </c>
      <c r="N22" s="18">
        <v>10</v>
      </c>
      <c r="O22" s="94">
        <f>IF(Tabelle14[[#This Row],[Weight]]&lt;&gt;"",Tabelle14[[#This Row],[Weight]]*Tabelle14[[#This Row],[value '[0…10']3]],"")</f>
        <v>0.29999999999999999</v>
      </c>
    </row>
    <row r="23" ht="26.399999999999999" customHeight="1">
      <c r="A23" s="93">
        <v>14</v>
      </c>
      <c r="B23" s="18" t="str">
        <f>IF(Tabelle1[[#This Row],[Requirement]]&lt;&gt;"",Tabelle1[[#This Row],[Requirement]],"")</f>
        <v xml:space="preserve">Machine Safety &amp; Electrical and Radio Regulations</v>
      </c>
      <c r="C23" s="18" t="str">
        <f>IF(Tabelle1[[#This Row],[Target / Criterion]]&lt;&gt;"",Tabelle1[[#This Row],[Target / Criterion]],"")</f>
        <v xml:space="preserve">Class 1</v>
      </c>
      <c r="D23" s="18" t="str">
        <f>IF(Tabelle1[[#This Row],[Unit]]&lt;&gt;"",Tabelle1[[#This Row],[Unit]],"")</f>
        <v>None</v>
      </c>
      <c r="E23" s="18" t="str">
        <f>IF(Tabelle1[[#This Row],[Demand / Wish]]&lt;&gt;"",Tabelle1[[#This Row],[Demand / Wish]],"")</f>
        <v>D</v>
      </c>
      <c r="F23" s="20">
        <f>IF(Tabelle1[[#This Row],[Weight]]&lt;&gt;"",Tabelle1[[#This Row],[Weight]],"")</f>
        <v>0.029999999999999999</v>
      </c>
      <c r="G23" s="18" t="s">
        <v>101</v>
      </c>
      <c r="H23" s="18">
        <v>10</v>
      </c>
      <c r="I23" s="20">
        <f>IF(Tabelle14[[#This Row],[Weight]]&lt;&gt;"",Tabelle14[[#This Row],[Weight]]*Tabelle14[[#This Row],[value '[0…10']]],"")</f>
        <v>0.29999999999999999</v>
      </c>
      <c r="J23" s="18" t="s">
        <v>101</v>
      </c>
      <c r="K23" s="18">
        <v>10</v>
      </c>
      <c r="L23" s="18">
        <f>IF(Tabelle14[[#This Row],[Weight]]&lt;&gt;"",Tabelle14[[#This Row],[Weight]]*Tabelle14[[#This Row],[value '[0…10']2]],"")</f>
        <v>0.29999999999999999</v>
      </c>
      <c r="M23" s="18" t="s">
        <v>101</v>
      </c>
      <c r="N23" s="18">
        <v>10</v>
      </c>
      <c r="O23" s="94">
        <f>IF(Tabelle14[[#This Row],[Weight]]&lt;&gt;"",Tabelle14[[#This Row],[Weight]]*Tabelle14[[#This Row],[value '[0…10']3]],"")</f>
        <v>0.29999999999999999</v>
      </c>
    </row>
    <row r="24" ht="26.399999999999999" customHeight="1">
      <c r="A24" s="93">
        <v>15</v>
      </c>
      <c r="B24" s="18" t="str">
        <f>IF(Tabelle1[[#This Row],[Requirement]]&lt;&gt;"",Tabelle1[[#This Row],[Requirement]],"")</f>
        <v xml:space="preserve">Battery Safety Regulations</v>
      </c>
      <c r="C24" s="18" t="str">
        <f>IF(Tabelle1[[#This Row],[Target / Criterion]]&lt;&gt;"",Tabelle1[[#This Row],[Target / Criterion]],"")</f>
        <v xml:space="preserve">UN 38.3 Certification.</v>
      </c>
      <c r="D24" s="18" t="str">
        <f>IF(Tabelle1[[#This Row],[Unit]]&lt;&gt;"",Tabelle1[[#This Row],[Unit]],"")</f>
        <v>None</v>
      </c>
      <c r="E24" s="18" t="str">
        <f>IF(Tabelle1[[#This Row],[Demand / Wish]]&lt;&gt;"",Tabelle1[[#This Row],[Demand / Wish]],"")</f>
        <v>D</v>
      </c>
      <c r="F24" s="20">
        <f>IF(Tabelle1[[#This Row],[Weight]]&lt;&gt;"",Tabelle1[[#This Row],[Weight]],"")</f>
        <v>0.029999999999999999</v>
      </c>
      <c r="G24" s="96" t="s">
        <v>199</v>
      </c>
      <c r="H24" s="17">
        <v>10</v>
      </c>
      <c r="I24" s="20">
        <f>IF(Tabelle14[[#This Row],[Weight]]&lt;&gt;"",Tabelle14[[#This Row],[Weight]]*Tabelle14[[#This Row],[value '[0…10']]],"")</f>
        <v>0.29999999999999999</v>
      </c>
      <c r="J24" s="18" t="s">
        <v>101</v>
      </c>
      <c r="K24" s="18">
        <v>10</v>
      </c>
      <c r="L24" s="18">
        <f>IF(Tabelle14[[#This Row],[Weight]]&lt;&gt;"",Tabelle14[[#This Row],[Weight]]*Tabelle14[[#This Row],[value '[0…10']2]],"")</f>
        <v>0.29999999999999999</v>
      </c>
      <c r="M24" s="18" t="s">
        <v>101</v>
      </c>
      <c r="N24" s="18">
        <v>10</v>
      </c>
      <c r="O24" s="94">
        <f>IF(Tabelle14[[#This Row],[Weight]]&lt;&gt;"",Tabelle14[[#This Row],[Weight]]*Tabelle14[[#This Row],[value '[0…10']3]],"")</f>
        <v>0.29999999999999999</v>
      </c>
    </row>
    <row r="25" ht="28.5">
      <c r="A25" s="93">
        <v>16</v>
      </c>
      <c r="B25" s="18" t="str">
        <f>IF(Tabelle1[[#This Row],[Requirement]]&lt;&gt;"",Tabelle1[[#This Row],[Requirement]],"")</f>
        <v xml:space="preserve">Comply to the Federal Waterway Permit
(Strom- und Schifffahrtpolizeiliche Genehmigung )</v>
      </c>
      <c r="C25" s="18" t="str">
        <f>IF(Tabelle1[[#This Row],[Target / Criterion]]&lt;&gt;"",Tabelle1[[#This Row],[Target / Criterion]],"")</f>
        <v xml:space="preserve">Conform to legal requirements</v>
      </c>
      <c r="D25" s="18" t="str">
        <f>IF(Tabelle1[[#This Row],[Unit]]&lt;&gt;"",Tabelle1[[#This Row],[Unit]],"")</f>
        <v>None</v>
      </c>
      <c r="E25" s="18" t="str">
        <f>IF(Tabelle1[[#This Row],[Demand / Wish]]&lt;&gt;"",Tabelle1[[#This Row],[Demand / Wish]],"")</f>
        <v>D</v>
      </c>
      <c r="F25" s="94">
        <f>IF(Tabelle1[[#This Row],[Weight]]&lt;&gt;"",Tabelle1[[#This Row],[Weight]],"")</f>
        <v>0.040000000000000001</v>
      </c>
      <c r="G25" s="97" t="s">
        <v>199</v>
      </c>
      <c r="H25" s="18">
        <v>10</v>
      </c>
      <c r="I25" s="20">
        <f>IF(Tabelle14[[#This Row],[Weight]]&lt;&gt;"",Tabelle14[[#This Row],[Weight]]*Tabelle14[[#This Row],[value '[0…10']]],"")</f>
        <v>0.40000000000000002</v>
      </c>
      <c r="J25" s="18" t="s">
        <v>101</v>
      </c>
      <c r="K25" s="18">
        <v>10</v>
      </c>
      <c r="L25" s="18">
        <f>IF(Tabelle14[[#This Row],[Weight]]&lt;&gt;"",Tabelle14[[#This Row],[Weight]]*Tabelle14[[#This Row],[value '[0…10']2]],"")</f>
        <v>0.40000000000000002</v>
      </c>
      <c r="M25" s="18" t="s">
        <v>101</v>
      </c>
      <c r="N25" s="18">
        <v>10</v>
      </c>
      <c r="O25" s="94">
        <f>IF(Tabelle14[[#This Row],[Weight]]&lt;&gt;"",Tabelle14[[#This Row],[Weight]]*Tabelle14[[#This Row],[value '[0…10']3]],"")</f>
        <v>0.40000000000000002</v>
      </c>
    </row>
    <row r="26" ht="26.399999999999999" customHeight="1">
      <c r="A26" s="93">
        <v>17</v>
      </c>
      <c r="B26" s="18" t="str">
        <f>IF(Tabelle1[[#This Row],[Requirement]]&lt;&gt;"",Tabelle1[[#This Row],[Requirement]],"")</f>
        <v xml:space="preserve">Water Use Permit (Wasserrechtliche erlaubnis)</v>
      </c>
      <c r="C26" s="18" t="str">
        <f>IF(Tabelle1[[#This Row],[Target / Criterion]]&lt;&gt;"",Tabelle1[[#This Row],[Target / Criterion]],"")</f>
        <v xml:space="preserve">Conform to legal requirements</v>
      </c>
      <c r="D26" s="18" t="str">
        <f>IF(Tabelle1[[#This Row],[Unit]]&lt;&gt;"",Tabelle1[[#This Row],[Unit]],"")</f>
        <v>None</v>
      </c>
      <c r="E26" s="18" t="str">
        <f>IF(Tabelle1[[#This Row],[Demand / Wish]]&lt;&gt;"",Tabelle1[[#This Row],[Demand / Wish]],"")</f>
        <v>D</v>
      </c>
      <c r="F26" s="94">
        <f>IF(Tabelle1[[#This Row],[Weight]]&lt;&gt;"",Tabelle1[[#This Row],[Weight]],"")</f>
        <v>0.040000000000000001</v>
      </c>
      <c r="G26" s="98" t="s">
        <v>199</v>
      </c>
      <c r="H26" s="18">
        <v>10</v>
      </c>
      <c r="I26" s="20">
        <f>IF(Tabelle14[[#This Row],[Weight]]&lt;&gt;"",Tabelle14[[#This Row],[Weight]]*Tabelle14[[#This Row],[value '[0…10']]],"")</f>
        <v>0.40000000000000002</v>
      </c>
      <c r="J26" s="18" t="s">
        <v>101</v>
      </c>
      <c r="K26" s="18">
        <v>10</v>
      </c>
      <c r="L26" s="18">
        <f>IF(Tabelle14[[#This Row],[Weight]]&lt;&gt;"",Tabelle14[[#This Row],[Weight]]*Tabelle14[[#This Row],[value '[0…10']2]],"")</f>
        <v>0.40000000000000002</v>
      </c>
      <c r="M26" s="18" t="s">
        <v>101</v>
      </c>
      <c r="N26" s="18">
        <v>10</v>
      </c>
      <c r="O26" s="94">
        <f>IF(Tabelle14[[#This Row],[Weight]]&lt;&gt;"",Tabelle14[[#This Row],[Weight]]*Tabelle14[[#This Row],[value '[0…10']3]],"")</f>
        <v>0.40000000000000002</v>
      </c>
    </row>
    <row r="27" ht="26.399999999999999" customHeight="1">
      <c r="A27" s="93">
        <v>18</v>
      </c>
      <c r="B27" s="18" t="str">
        <f>IF(Tabelle1[[#This Row],[Requirement]]&lt;&gt;"",Tabelle1[[#This Row],[Requirement]],"")</f>
        <v xml:space="preserve">Biodiversity &amp; Habitat Protection (Naturschutzrecht)</v>
      </c>
      <c r="C27" s="18" t="str">
        <f>IF(Tabelle1[[#This Row],[Target / Criterion]]&lt;&gt;"",Tabelle1[[#This Row],[Target / Criterion]],"")</f>
        <v xml:space="preserve">Conform to legal requirements</v>
      </c>
      <c r="D27" s="18" t="str">
        <f>IF(Tabelle1[[#This Row],[Unit]]&lt;&gt;"",Tabelle1[[#This Row],[Unit]],"")</f>
        <v>None</v>
      </c>
      <c r="E27" s="18" t="str">
        <f>IF(Tabelle1[[#This Row],[Demand / Wish]]&lt;&gt;"",Tabelle1[[#This Row],[Demand / Wish]],"")</f>
        <v>D</v>
      </c>
      <c r="F27" s="20">
        <f>IF(Tabelle1[[#This Row],[Weight]]&lt;&gt;"",Tabelle1[[#This Row],[Weight]],"")</f>
        <v>0.029999999999999999</v>
      </c>
      <c r="G27" s="18" t="s">
        <v>101</v>
      </c>
      <c r="H27" s="18">
        <v>10</v>
      </c>
      <c r="I27" s="20">
        <f>IF(Tabelle14[[#This Row],[Weight]]&lt;&gt;"",Tabelle14[[#This Row],[Weight]]*Tabelle14[[#This Row],[value '[0…10']]],"")</f>
        <v>0.29999999999999999</v>
      </c>
      <c r="J27" s="18" t="s">
        <v>101</v>
      </c>
      <c r="K27" s="18">
        <v>10</v>
      </c>
      <c r="L27" s="18">
        <f>IF(Tabelle14[[#This Row],[Weight]]&lt;&gt;"",Tabelle14[[#This Row],[Weight]]*Tabelle14[[#This Row],[value '[0…10']2]],"")</f>
        <v>0.29999999999999999</v>
      </c>
      <c r="M27" s="18" t="s">
        <v>101</v>
      </c>
      <c r="N27" s="18">
        <v>10</v>
      </c>
      <c r="O27" s="94">
        <f>IF(Tabelle14[[#This Row],[Weight]]&lt;&gt;"",Tabelle14[[#This Row],[Weight]]*Tabelle14[[#This Row],[value '[0…10']3]],"")</f>
        <v>0.29999999999999999</v>
      </c>
    </row>
    <row r="28" ht="14.25">
      <c r="A28" s="93">
        <v>19</v>
      </c>
      <c r="B28" s="18" t="str">
        <f>IF(Tabelle1[[#This Row],[Requirement]]&lt;&gt;"",Tabelle1[[#This Row],[Requirement]],"")</f>
        <v>Scalability</v>
      </c>
      <c r="C28" s="18" t="str">
        <f>IF(Tabelle1[[#This Row],[Target / Criterion]]&lt;&gt;"",Tabelle1[[#This Row],[Target / Criterion]],"")</f>
        <v xml:space="preserve">Adaptable to Canal width</v>
      </c>
      <c r="D28" s="18" t="str">
        <f>IF(Tabelle1[[#This Row],[Unit]]&lt;&gt;"",Tabelle1[[#This Row],[Unit]],"")</f>
        <v>m</v>
      </c>
      <c r="E28" s="18" t="str">
        <f>IF(Tabelle1[[#This Row],[Demand / Wish]]&lt;&gt;"",Tabelle1[[#This Row],[Demand / Wish]],"")</f>
        <v>W</v>
      </c>
      <c r="F28" s="20">
        <f>IF(Tabelle1[[#This Row],[Weight]]&lt;&gt;"",Tabelle1[[#This Row],[Weight]],"")</f>
        <v>0.02</v>
      </c>
      <c r="G28" s="22" t="s">
        <v>101</v>
      </c>
      <c r="H28" s="18">
        <v>10</v>
      </c>
      <c r="I28" s="20">
        <f>IF(Tabelle14[[#This Row],[Weight]]&lt;&gt;"",Tabelle14[[#This Row],[Weight]]*Tabelle14[[#This Row],[value '[0…10']]],"")</f>
        <v>0.20000000000000001</v>
      </c>
      <c r="J28" s="18" t="s">
        <v>101</v>
      </c>
      <c r="K28" s="18">
        <v>10</v>
      </c>
      <c r="L28" s="18">
        <f>IF(Tabelle14[[#This Row],[Weight]]&lt;&gt;"",Tabelle14[[#This Row],[Weight]]*Tabelle14[[#This Row],[value '[0…10']2]],"")</f>
        <v>0.20000000000000001</v>
      </c>
      <c r="M28" s="18" t="s">
        <v>101</v>
      </c>
      <c r="N28" s="18">
        <v>10</v>
      </c>
      <c r="O28" s="94">
        <f>IF(Tabelle14[[#This Row],[Weight]]&lt;&gt;"",Tabelle14[[#This Row],[Weight]]*Tabelle14[[#This Row],[value '[0…10']3]],"")</f>
        <v>0.20000000000000001</v>
      </c>
    </row>
    <row r="29" ht="14.25">
      <c r="A29" s="93">
        <v>20</v>
      </c>
      <c r="B29" s="18" t="str">
        <f>IF(Tabelle1[[#This Row],[Requirement]]&lt;&gt;"",Tabelle1[[#This Row],[Requirement]],"")</f>
        <v xml:space="preserve">Water proof</v>
      </c>
      <c r="C29" s="18" t="str">
        <f>IF(Tabelle1[[#This Row],[Target / Criterion]]&lt;&gt;"",Tabelle1[[#This Row],[Target / Criterion]],"")</f>
        <v>IPX6</v>
      </c>
      <c r="D29" s="18" t="str">
        <f>IF(Tabelle1[[#This Row],[Unit]]&lt;&gt;"",Tabelle1[[#This Row],[Unit]],"")</f>
        <v>None</v>
      </c>
      <c r="E29" s="18" t="str">
        <f>IF(Tabelle1[[#This Row],[Demand / Wish]]&lt;&gt;"",Tabelle1[[#This Row],[Demand / Wish]],"")</f>
        <v>D</v>
      </c>
      <c r="F29" s="20">
        <f>IF(Tabelle1[[#This Row],[Weight]]&lt;&gt;"",Tabelle1[[#This Row],[Weight]],"")</f>
        <v>0.040000000000000001</v>
      </c>
      <c r="G29" s="22" t="s">
        <v>101</v>
      </c>
      <c r="H29" s="17">
        <v>10</v>
      </c>
      <c r="I29" s="20">
        <f>IF(Tabelle14[[#This Row],[Weight]]&lt;&gt;"",Tabelle14[[#This Row],[Weight]]*Tabelle14[[#This Row],[value '[0…10']]],"")</f>
        <v>0.40000000000000002</v>
      </c>
      <c r="J29" s="18" t="s">
        <v>101</v>
      </c>
      <c r="K29" s="18">
        <v>10</v>
      </c>
      <c r="L29" s="18">
        <f>IF(Tabelle14[[#This Row],[Weight]]&lt;&gt;"",Tabelle14[[#This Row],[Weight]]*Tabelle14[[#This Row],[value '[0…10']2]],"")</f>
        <v>0.40000000000000002</v>
      </c>
      <c r="M29" s="18" t="s">
        <v>101</v>
      </c>
      <c r="N29" s="18">
        <v>10</v>
      </c>
      <c r="O29" s="94">
        <f>IF(Tabelle14[[#This Row],[Weight]]&lt;&gt;"",Tabelle14[[#This Row],[Weight]]*Tabelle14[[#This Row],[value '[0…10']3]],"")</f>
        <v>0.40000000000000002</v>
      </c>
    </row>
    <row r="30" ht="42.75">
      <c r="A30" s="93">
        <v>21</v>
      </c>
      <c r="B30" s="18" t="str">
        <f>IF(Tabelle1[[#This Row],[Requirement]]&lt;&gt;"",Tabelle1[[#This Row],[Requirement]],"")</f>
        <v xml:space="preserve">Must not block canal Navigation</v>
      </c>
      <c r="C30" s="18" t="str">
        <f>IF(Tabelle1[[#This Row],[Target / Criterion]]&lt;&gt;"",Tabelle1[[#This Row],[Target / Criterion]],"")</f>
        <v xml:space="preserve">Stoppage time
 of other simultaneously 
occuring activities</v>
      </c>
      <c r="D30" s="18" t="str">
        <f>IF(Tabelle1[[#This Row],[Unit]]&lt;&gt;"",Tabelle1[[#This Row],[Unit]],"")</f>
        <v>min</v>
      </c>
      <c r="E30" s="18" t="str">
        <f>IF(Tabelle1[[#This Row],[Demand / Wish]]&lt;&gt;"",Tabelle1[[#This Row],[Demand / Wish]],"")</f>
        <v>D</v>
      </c>
      <c r="F30" s="20">
        <f>IF(Tabelle1[[#This Row],[Weight]]&lt;&gt;"",Tabelle1[[#This Row],[Weight]],"")</f>
        <v>0.029999999999999999</v>
      </c>
      <c r="G30" s="22" t="s">
        <v>101</v>
      </c>
      <c r="H30" s="18">
        <v>10</v>
      </c>
      <c r="I30" s="20">
        <f>IF(Tabelle14[[#This Row],[Weight]]&lt;&gt;"",Tabelle14[[#This Row],[Weight]]*Tabelle14[[#This Row],[value '[0…10']]],"")</f>
        <v>0.29999999999999999</v>
      </c>
      <c r="J30" s="18" t="s">
        <v>101</v>
      </c>
      <c r="K30" s="18">
        <v>10</v>
      </c>
      <c r="L30" s="18">
        <f>IF(Tabelle14[[#This Row],[Weight]]&lt;&gt;"",Tabelle14[[#This Row],[Weight]]*Tabelle14[[#This Row],[value '[0…10']2]],"")</f>
        <v>0.29999999999999999</v>
      </c>
      <c r="M30" s="18" t="s">
        <v>101</v>
      </c>
      <c r="N30" s="18">
        <v>10</v>
      </c>
      <c r="O30" s="94">
        <f>IF(Tabelle14[[#This Row],[Weight]]&lt;&gt;"",Tabelle14[[#This Row],[Weight]]*Tabelle14[[#This Row],[value '[0…10']3]],"")</f>
        <v>0.29999999999999999</v>
      </c>
    </row>
    <row r="31" ht="57">
      <c r="A31" s="93">
        <v>22</v>
      </c>
      <c r="B31" s="18" t="str">
        <f>IF(Tabelle1[[#This Row],[Requirement]]&lt;&gt;"",Tabelle1[[#This Row],[Requirement]],"")</f>
        <v xml:space="preserve">Preserve canal infrastructure</v>
      </c>
      <c r="C31" s="18" t="str">
        <f>IF(Tabelle1[[#This Row],[Target / Criterion]]&lt;&gt;"",Tabelle1[[#This Row],[Target / Criterion]],"")</f>
        <v xml:space="preserve">No reconstruction nor destruction of the currrents canal's infrastructure</v>
      </c>
      <c r="D31" s="18" t="str">
        <f>IF(Tabelle1[[#This Row],[Unit]]&lt;&gt;"",Tabelle1[[#This Row],[Unit]],"")</f>
        <v>None</v>
      </c>
      <c r="E31" s="18" t="str">
        <f>IF(Tabelle1[[#This Row],[Demand / Wish]]&lt;&gt;"",Tabelle1[[#This Row],[Demand / Wish]],"")</f>
        <v>D</v>
      </c>
      <c r="F31" s="20">
        <f>IF(Tabelle1[[#This Row],[Weight]]&lt;&gt;"",Tabelle1[[#This Row],[Weight]],"")</f>
        <v>0.050000000000000003</v>
      </c>
      <c r="G31" s="22" t="s">
        <v>101</v>
      </c>
      <c r="H31" s="18">
        <v>10</v>
      </c>
      <c r="I31" s="20">
        <f>IF(Tabelle14[[#This Row],[Weight]]&lt;&gt;"",Tabelle14[[#This Row],[Weight]]*Tabelle14[[#This Row],[value '[0…10']]],"")</f>
        <v>0.5</v>
      </c>
      <c r="J31" s="18" t="s">
        <v>101</v>
      </c>
      <c r="K31" s="18">
        <v>10</v>
      </c>
      <c r="L31" s="18">
        <f>IF(Tabelle14[[#This Row],[Weight]]&lt;&gt;"",Tabelle14[[#This Row],[Weight]]*Tabelle14[[#This Row],[value '[0…10']2]],"")</f>
        <v>0.5</v>
      </c>
      <c r="M31" s="18" t="s">
        <v>101</v>
      </c>
      <c r="N31" s="18">
        <v>10</v>
      </c>
      <c r="O31" s="94">
        <f>IF(Tabelle14[[#This Row],[Weight]]&lt;&gt;"",Tabelle14[[#This Row],[Weight]]*Tabelle14[[#This Row],[value '[0…10']3]],"")</f>
        <v>0.5</v>
      </c>
    </row>
    <row r="32" ht="42.75">
      <c r="A32" s="93">
        <v>23</v>
      </c>
      <c r="B32" s="18" t="s">
        <v>200</v>
      </c>
      <c r="C32" s="18" t="str">
        <f>IF(Tabelle1[[#This Row],[Target / Criterion]]&lt;&gt;"",Tabelle1[[#This Row],[Target / Criterion]],"")</f>
        <v xml:space="preserve">Should Operable in hot,sunny,moist and rainy weather conditions</v>
      </c>
      <c r="D32" s="18" t="str">
        <f>IF(Tabelle1[[#This Row],[Unit]]&lt;&gt;"",Tabelle1[[#This Row],[Unit]],"")</f>
        <v>None</v>
      </c>
      <c r="E32" s="18" t="str">
        <f>IF(Tabelle1[[#This Row],[Demand / Wish]]&lt;&gt;"",Tabelle1[[#This Row],[Demand / Wish]],"")</f>
        <v>D</v>
      </c>
      <c r="F32" s="20">
        <f>IF(Tabelle1[[#This Row],[Weight]]&lt;&gt;"",Tabelle1[[#This Row],[Weight]],"")</f>
        <v>0.02</v>
      </c>
      <c r="G32" s="29" t="s">
        <v>101</v>
      </c>
      <c r="H32" s="18">
        <v>10</v>
      </c>
      <c r="I32" s="20">
        <f>IF(Tabelle14[[#This Row],[Weight]]&lt;&gt;"",Tabelle14[[#This Row],[Weight]]*Tabelle14[[#This Row],[value '[0…10']]],"")</f>
        <v>0.20000000000000001</v>
      </c>
      <c r="J32" s="18" t="s">
        <v>101</v>
      </c>
      <c r="K32" s="18">
        <v>10</v>
      </c>
      <c r="L32" s="18">
        <f>IF(Tabelle14[[#This Row],[Weight]]&lt;&gt;"",Tabelle14[[#This Row],[Weight]]*Tabelle14[[#This Row],[value '[0…10']2]],"")</f>
        <v>0.20000000000000001</v>
      </c>
      <c r="M32" s="18" t="s">
        <v>101</v>
      </c>
      <c r="N32" s="18">
        <v>10</v>
      </c>
      <c r="O32" s="94">
        <f>IF(Tabelle14[[#This Row],[Weight]]&lt;&gt;"",Tabelle14[[#This Row],[Weight]]*Tabelle14[[#This Row],[value '[0…10']3]],"")</f>
        <v>0.20000000000000001</v>
      </c>
    </row>
    <row r="33" ht="26.399999999999999" customHeight="1">
      <c r="A33" s="93">
        <v>24</v>
      </c>
      <c r="C33" s="18" t="str">
        <f>IF(Tabelle1[[#This Row],[Target / Criterion]]&lt;&gt;"",Tabelle1[[#This Row],[Target / Criterion]],"")</f>
        <v/>
      </c>
      <c r="D33" s="18" t="str">
        <f>IF(Tabelle1[[#This Row],[Unit]]&lt;&gt;"",Tabelle1[[#This Row],[Unit]],"")</f>
        <v/>
      </c>
      <c r="E33" s="18" t="str">
        <f>IF(Tabelle1[[#This Row],[Demand / Wish]]&lt;&gt;"",Tabelle1[[#This Row],[Demand / Wish]],"")</f>
        <v/>
      </c>
      <c r="F33" s="94" t="str">
        <f>IF(Tabelle1[[#This Row],[Weight]]&lt;&gt;"",Tabelle1[[#This Row],[Weight]],"")</f>
        <v/>
      </c>
      <c r="G33" s="18" t="s">
        <v>201</v>
      </c>
      <c r="H33" s="18">
        <v>3</v>
      </c>
      <c r="I33" s="20" t="str">
        <f>IF(Tabelle14[[#This Row],[Weight]]&lt;&gt;"",Tabelle14[[#This Row],[Weight]]*Tabelle14[[#This Row],[value '[0…10']]],"")</f>
        <v/>
      </c>
      <c r="J33" s="18" t="s">
        <v>202</v>
      </c>
      <c r="K33" s="18">
        <v>5</v>
      </c>
      <c r="L33" s="18" t="str">
        <f>IF(Tabelle14[[#This Row],[Weight]]&lt;&gt;"",Tabelle14[[#This Row],[Weight]]*Tabelle14[[#This Row],[value '[0…10']2]],"")</f>
        <v/>
      </c>
      <c r="M33" s="18" t="s">
        <v>203</v>
      </c>
      <c r="N33" s="18">
        <v>6</v>
      </c>
      <c r="O33" s="94" t="str">
        <f>IF(Tabelle14[[#This Row],[Weight]]&lt;&gt;"",Tabelle14[[#This Row],[Weight]]*Tabelle14[[#This Row],[value '[0…10']3]],"")</f>
        <v/>
      </c>
    </row>
    <row r="34" ht="26.399999999999999" customHeight="1">
      <c r="A34" s="93">
        <v>25</v>
      </c>
      <c r="B34" s="18"/>
      <c r="C34" s="18"/>
      <c r="D34" s="18"/>
      <c r="E34" s="18"/>
      <c r="F34" s="94" t="str">
        <f>IF(Tabelle1[[#This Row],[Weight]]&lt;&gt;"",Tabelle1[[#This Row],[Weight]],"")</f>
        <v/>
      </c>
      <c r="G34" s="98"/>
      <c r="H34" s="18"/>
      <c r="I34" s="94" t="str">
        <f>IF(Tabelle14[[#This Row],[Weight]]&lt;&gt;"",Tabelle14[[#This Row],[Weight]]*Tabelle14[[#This Row],[value '[0…10']]],"")</f>
        <v/>
      </c>
      <c r="J34" s="93"/>
      <c r="K34" s="18"/>
      <c r="L34" s="18" t="str">
        <f>IF(Tabelle14[[#This Row],[Weight]]&lt;&gt;"",Tabelle14[[#This Row],[Weight]]*Tabelle14[[#This Row],[value '[0…10']2]],"")</f>
        <v/>
      </c>
      <c r="M34" s="18"/>
      <c r="N34" s="18"/>
      <c r="O34" s="94" t="str">
        <f>IF(Tabelle14[[#This Row],[Weight]]&lt;&gt;"",Tabelle14[[#This Row],[Weight]]*Tabelle14[[#This Row],[value '[0…10']3]],"")</f>
        <v/>
      </c>
    </row>
    <row r="35" ht="26.399999999999999" customHeight="1">
      <c r="A35" s="93">
        <v>26</v>
      </c>
      <c r="B35" s="18"/>
      <c r="C35" s="18"/>
      <c r="D35" s="18"/>
      <c r="E35" s="18"/>
      <c r="F35" s="94" t="str">
        <f>IF(Tabelle1[[#This Row],[Weight]]&lt;&gt;"",Tabelle1[[#This Row],[Weight]],"")</f>
        <v/>
      </c>
      <c r="G35" s="98"/>
      <c r="H35" s="18"/>
      <c r="I35" s="94" t="str">
        <f>IF(Tabelle14[[#This Row],[Weight]]&lt;&gt;"",Tabelle14[[#This Row],[Weight]]*Tabelle14[[#This Row],[value '[0…10']]],"")</f>
        <v/>
      </c>
      <c r="J35" s="93"/>
      <c r="K35" s="18"/>
      <c r="L35" s="18" t="str">
        <f>IF(Tabelle14[[#This Row],[Weight]]&lt;&gt;"",Tabelle14[[#This Row],[Weight]]*Tabelle14[[#This Row],[value '[0…10']2]],"")</f>
        <v/>
      </c>
      <c r="M35" s="18"/>
      <c r="N35" s="18"/>
      <c r="O35" s="94" t="str">
        <f>IF(Tabelle14[[#This Row],[Weight]]&lt;&gt;"",Tabelle14[[#This Row],[Weight]]*Tabelle14[[#This Row],[value '[0…10']3]],"")</f>
        <v/>
      </c>
    </row>
    <row r="36" ht="26.399999999999999" customHeight="1">
      <c r="A36" s="93">
        <v>27</v>
      </c>
      <c r="B36" s="18" t="str">
        <f>IF(Tabelle1[[#This Row],[Requirement]]&lt;&gt;"",Tabelle1[[#This Row],[Requirement]],"")</f>
        <v/>
      </c>
      <c r="C36" s="18"/>
      <c r="D36" s="18"/>
      <c r="E36" s="18"/>
      <c r="F36" s="94" t="str">
        <f>IF(Tabelle1[[#This Row],[Weight]]&lt;&gt;"",Tabelle1[[#This Row],[Weight]],"")</f>
        <v/>
      </c>
      <c r="G36" s="98"/>
      <c r="H36" s="18"/>
      <c r="I36" s="94" t="str">
        <f>IF(Tabelle14[[#This Row],[Weight]]&lt;&gt;"",Tabelle14[[#This Row],[Weight]]*Tabelle14[[#This Row],[value '[0…10']]],"")</f>
        <v/>
      </c>
      <c r="J36" s="93"/>
      <c r="K36" s="18"/>
      <c r="L36" s="18" t="str">
        <f>IF(Tabelle14[[#This Row],[Weight]]&lt;&gt;"",Tabelle14[[#This Row],[Weight]]*Tabelle14[[#This Row],[value '[0…10']2]],"")</f>
        <v/>
      </c>
      <c r="M36" s="18"/>
      <c r="N36" s="18"/>
      <c r="O36" s="94" t="str">
        <f>IF(Tabelle14[[#This Row],[Weight]]&lt;&gt;"",Tabelle14[[#This Row],[Weight]]*Tabelle14[[#This Row],[value '[0…10']3]],"")</f>
        <v/>
      </c>
    </row>
    <row r="37" ht="26.399999999999999" customHeight="1">
      <c r="A37" s="93">
        <v>28</v>
      </c>
      <c r="B37" s="18" t="str">
        <f>IF(Tabelle1[[#This Row],[Requirement]]&lt;&gt;"",Tabelle1[[#This Row],[Requirement]],"")</f>
        <v/>
      </c>
      <c r="C37" s="18" t="str">
        <f>IF(Tabelle1[[#This Row],[Target / Criterion]]&lt;&gt;"",Tabelle1[[#This Row],[Target / Criterion]],"")</f>
        <v/>
      </c>
      <c r="D37" s="18" t="str">
        <f>IF(Tabelle1[[#This Row],[Unit]]&lt;&gt;"",Tabelle1[[#This Row],[Unit]],"")</f>
        <v/>
      </c>
      <c r="E37" s="18" t="str">
        <f>IF(Tabelle1[[#This Row],[Demand / Wish]]&lt;&gt;"",Tabelle1[[#This Row],[Demand / Wish]],"")</f>
        <v/>
      </c>
      <c r="F37" s="94" t="str">
        <f>IF(Tabelle1[[#This Row],[Weight]]&lt;&gt;"",Tabelle1[[#This Row],[Weight]],"")</f>
        <v/>
      </c>
      <c r="G37" s="98"/>
      <c r="H37" s="18"/>
      <c r="I37" s="94" t="str">
        <f>IF(Tabelle14[[#This Row],[Weight]]&lt;&gt;"",Tabelle14[[#This Row],[Weight]]*Tabelle14[[#This Row],[value '[0…10']]],"")</f>
        <v/>
      </c>
      <c r="J37" s="93"/>
      <c r="K37" s="18"/>
      <c r="L37" s="18" t="str">
        <f>IF(Tabelle14[[#This Row],[Weight]]&lt;&gt;"",Tabelle14[[#This Row],[Weight]]*Tabelle14[[#This Row],[value '[0…10']2]],"")</f>
        <v/>
      </c>
      <c r="M37" s="18"/>
      <c r="N37" s="18"/>
      <c r="O37" s="94" t="str">
        <f>IF(Tabelle14[[#This Row],[Weight]]&lt;&gt;"",Tabelle14[[#This Row],[Weight]]*Tabelle14[[#This Row],[value '[0…10']3]],"")</f>
        <v/>
      </c>
    </row>
    <row r="38" ht="26.399999999999999" customHeight="1">
      <c r="A38" s="93">
        <v>29</v>
      </c>
      <c r="B38" s="18" t="str">
        <f>IF(Tabelle1[[#This Row],[Requirement]]&lt;&gt;"",Tabelle1[[#This Row],[Requirement]],"")</f>
        <v/>
      </c>
      <c r="C38" s="18" t="str">
        <f>IF(Tabelle1[[#This Row],[Target / Criterion]]&lt;&gt;"",Tabelle1[[#This Row],[Target / Criterion]],"")</f>
        <v/>
      </c>
      <c r="D38" s="18" t="str">
        <f>IF(Tabelle1[[#This Row],[Unit]]&lt;&gt;"",Tabelle1[[#This Row],[Unit]],"")</f>
        <v/>
      </c>
      <c r="E38" s="22" t="str">
        <f>IF(Tabelle1[[#This Row],[Demand / Wish]]&lt;&gt;"",Tabelle1[[#This Row],[Demand / Wish]],"")</f>
        <v/>
      </c>
      <c r="F38" s="99" t="str">
        <f>IF(Tabelle1[[#This Row],[Weight]]&lt;&gt;"",Tabelle1[[#This Row],[Weight]],"")</f>
        <v/>
      </c>
      <c r="G38" s="100"/>
      <c r="H38" s="18"/>
      <c r="I38" s="99" t="str">
        <f>IF(Tabelle14[[#This Row],[Weight]]&lt;&gt;"",Tabelle14[[#This Row],[Weight]]*Tabelle14[[#This Row],[value '[0…10']]],"")</f>
        <v/>
      </c>
      <c r="J38" s="93"/>
      <c r="K38" s="18"/>
      <c r="L38" s="22" t="str">
        <f>IF(Tabelle14[[#This Row],[Weight]]&lt;&gt;"",Tabelle14[[#This Row],[Weight]]*Tabelle14[[#This Row],[value '[0…10']2]],"")</f>
        <v/>
      </c>
      <c r="M38" s="18"/>
      <c r="N38" s="18"/>
      <c r="O38" s="94" t="str">
        <f>IF(Tabelle14[[#This Row],[Weight]]&lt;&gt;"",Tabelle14[[#This Row],[Weight]]*Tabelle14[[#This Row],[value '[0…10']3]],"")</f>
        <v/>
      </c>
    </row>
    <row r="39" ht="25.75" customHeight="1">
      <c r="E39" s="23" t="s">
        <v>100</v>
      </c>
      <c r="F39" s="23">
        <f>SUM(F10:F38)</f>
        <v>0.92000000000000037</v>
      </c>
      <c r="G39" s="23"/>
      <c r="H39" s="101" t="s">
        <v>204</v>
      </c>
      <c r="I39" s="102">
        <f>SUM(Tabelle14[weighted value])</f>
        <v>7.8100000000000005</v>
      </c>
      <c r="K39" s="103" t="s">
        <v>204</v>
      </c>
      <c r="L39" s="102">
        <f>SUM(Tabelle14[weighted value2])</f>
        <v>7.8900000000000006</v>
      </c>
      <c r="N39" s="103" t="s">
        <v>204</v>
      </c>
      <c r="O39" s="104">
        <f>SUM(Tabelle14[weighted value3])</f>
        <v>7.5300000000000002</v>
      </c>
    </row>
    <row r="40" ht="14.4" customHeight="1">
      <c r="E40" s="23" t="s">
        <v>101</v>
      </c>
      <c r="F40" s="23" t="str">
        <f>IF(ABS(F39-1)&lt;0.000001,"OK","Weights must sum to 1.000")</f>
        <v xml:space="preserve">Weights must sum to 1.000</v>
      </c>
      <c r="G40" s="23"/>
      <c r="H40" s="105"/>
      <c r="I40" s="106"/>
      <c r="K40" s="107"/>
      <c r="L40" s="106"/>
      <c r="N40" s="107"/>
      <c r="O40" s="108"/>
    </row>
  </sheetData>
  <mergeCells count="12">
    <mergeCell ref="A1:O1"/>
    <mergeCell ref="A2:O2"/>
    <mergeCell ref="A8:F8"/>
    <mergeCell ref="G8:I8"/>
    <mergeCell ref="J8:L8"/>
    <mergeCell ref="M8:O8"/>
    <mergeCell ref="H39:H40"/>
    <mergeCell ref="I39:I40"/>
    <mergeCell ref="K39:K40"/>
    <mergeCell ref="L39:L40"/>
    <mergeCell ref="N39:N40"/>
    <mergeCell ref="O39:O40"/>
  </mergeCells>
  <printOptions headings="0" gridLines="0"/>
  <pageMargins left="0.75" right="0.75" top="1" bottom="1" header="0.5" footer="0.5"/>
  <pageSetup paperSize="8" scale="79" fitToWidth="1" fitToHeight="0" pageOrder="downThenOver" orientation="landscape" usePrinterDefaults="1" blackAndWhite="0" draft="0" cellComments="none" useFirstPageNumber="0" errors="displayed" horizontalDpi="1200" verticalDpi="12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8" activeCellId="0" sqref="F8"/>
    </sheetView>
  </sheetViews>
  <sheetFormatPr defaultColWidth="8.90625" defaultRowHeight="14.5"/>
  <sheetData>
    <row r="1">
      <c r="A1" t="s">
        <v>205</v>
      </c>
      <c r="C1" t="s">
        <v>206</v>
      </c>
      <c r="F1" t="s">
        <v>207</v>
      </c>
    </row>
    <row r="2">
      <c r="A2" t="s">
        <v>16</v>
      </c>
      <c r="C2" t="s">
        <v>19</v>
      </c>
      <c r="F2">
        <v>1</v>
      </c>
    </row>
    <row r="3">
      <c r="A3" t="s">
        <v>27</v>
      </c>
      <c r="C3" t="s">
        <v>35</v>
      </c>
      <c r="F3">
        <v>2</v>
      </c>
    </row>
    <row r="4">
      <c r="A4" t="s">
        <v>56</v>
      </c>
      <c r="F4">
        <v>3</v>
      </c>
    </row>
    <row r="5">
      <c r="A5" t="s">
        <v>22</v>
      </c>
      <c r="F5">
        <v>4</v>
      </c>
    </row>
    <row r="6">
      <c r="A6" t="s">
        <v>60</v>
      </c>
      <c r="F6">
        <v>5</v>
      </c>
    </row>
    <row r="7">
      <c r="A7" t="s">
        <v>52</v>
      </c>
      <c r="F7">
        <v>6</v>
      </c>
    </row>
    <row r="8">
      <c r="A8" t="s">
        <v>38</v>
      </c>
    </row>
    <row r="9">
      <c r="A9" t="s">
        <v>32</v>
      </c>
    </row>
    <row r="10">
      <c r="A10" t="s">
        <v>71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5</cp:revision>
  <dcterms:created xsi:type="dcterms:W3CDTF">2026-07-06T12:57:17Z</dcterms:created>
  <dcterms:modified xsi:type="dcterms:W3CDTF">2026-07-30T15:47:59Z</dcterms:modified>
</cp:coreProperties>
</file>